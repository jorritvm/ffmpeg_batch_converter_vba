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jorrit\vub_panopto_conversies\sem2_batch2\"/>
    </mc:Choice>
  </mc:AlternateContent>
  <bookViews>
    <workbookView xWindow="0" yWindow="0" windowWidth="27108" windowHeight="13968" tabRatio="731" activeTab="2"/>
  </bookViews>
  <sheets>
    <sheet name="README" sheetId="2" r:id="rId1"/>
    <sheet name="general_config" sheetId="3" r:id="rId2"/>
    <sheet name="convert" sheetId="5" r:id="rId3"/>
    <sheet name="trim_convert" sheetId="6" r:id="rId4"/>
    <sheet name="trim-crop-convert" sheetId="1" r:id="rId5"/>
    <sheet name="trim-convert-join" sheetId="4" r:id="rId6"/>
    <sheet name="join" sheetId="7" r:id="rId7"/>
  </sheets>
  <functionGroups builtInGroupCount="18"/>
  <definedNames>
    <definedName name="crf">general_config!$B$5</definedName>
    <definedName name="debug">general_config!$B$6</definedName>
    <definedName name="executable">general_config!$B$3</definedName>
    <definedName name="preset">general_config!$B$4</definedName>
    <definedName name="status_c">convert!$H$4:$H$32</definedName>
    <definedName name="status_j">join!$F$4:$F$32</definedName>
    <definedName name="status_tc">trim_convert!$U$4:$U$32</definedName>
    <definedName name="status_tcc">'trim-crop-convert'!$AA$4:$AA$32</definedName>
    <definedName name="status_tcj1" localSheetId="6">join!#REF!</definedName>
    <definedName name="status_tcj1">'trim-convert-join'!$K$4:$K$32</definedName>
    <definedName name="status_tcj2" localSheetId="6">join!$F$4:$F$32</definedName>
    <definedName name="status_tcj2">'trim-convert-join'!$N$4:$N$32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7" l="1"/>
  <c r="E4" i="7"/>
  <c r="G5" i="4" l="1"/>
  <c r="H5" i="4"/>
  <c r="J5" i="4" s="1"/>
  <c r="I5" i="4"/>
  <c r="G6" i="4"/>
  <c r="H6" i="4"/>
  <c r="J6" i="4" s="1"/>
  <c r="I6" i="4"/>
  <c r="G7" i="4"/>
  <c r="H7" i="4"/>
  <c r="J7" i="4" s="1"/>
  <c r="I7" i="4"/>
  <c r="G8" i="4"/>
  <c r="H8" i="4"/>
  <c r="J8" i="4" s="1"/>
  <c r="I8" i="4"/>
  <c r="O4" i="4"/>
  <c r="M4" i="4"/>
  <c r="J4" i="4"/>
  <c r="I4" i="4"/>
  <c r="H4" i="4"/>
  <c r="L8" i="4" l="1"/>
  <c r="L6" i="4"/>
  <c r="L7" i="4"/>
  <c r="L5" i="4"/>
  <c r="M6" i="4"/>
  <c r="O6" i="4" s="1"/>
  <c r="M8" i="4"/>
  <c r="O8" i="4" s="1"/>
  <c r="M5" i="4"/>
  <c r="O5" i="4" s="1"/>
  <c r="M7" i="4"/>
  <c r="O7" i="4" s="1"/>
  <c r="L4" i="4" l="1"/>
  <c r="X5" i="1"/>
  <c r="X6" i="1"/>
  <c r="X7" i="1"/>
  <c r="X4" i="1"/>
  <c r="R5" i="6"/>
  <c r="R6" i="6"/>
  <c r="R7" i="6"/>
  <c r="R4" i="6"/>
  <c r="L7" i="6"/>
  <c r="M7" i="6" s="1"/>
  <c r="K7" i="6"/>
  <c r="J7" i="6"/>
  <c r="C7" i="6"/>
  <c r="Q7" i="6" s="1"/>
  <c r="B7" i="6"/>
  <c r="L6" i="6"/>
  <c r="K6" i="6"/>
  <c r="J6" i="6"/>
  <c r="C6" i="6"/>
  <c r="Q6" i="6" s="1"/>
  <c r="B6" i="6"/>
  <c r="L5" i="6"/>
  <c r="M5" i="6" s="1"/>
  <c r="K5" i="6"/>
  <c r="J5" i="6"/>
  <c r="C5" i="6"/>
  <c r="Q5" i="6" s="1"/>
  <c r="B5" i="6"/>
  <c r="L4" i="6"/>
  <c r="M4" i="6" s="1"/>
  <c r="N4" i="6" s="1"/>
  <c r="K4" i="6"/>
  <c r="J4" i="6"/>
  <c r="C4" i="6"/>
  <c r="Q4" i="6" s="1"/>
  <c r="B4" i="6"/>
  <c r="T6" i="6" l="1"/>
  <c r="V6" i="6" s="1"/>
  <c r="T5" i="6"/>
  <c r="V5" i="6" s="1"/>
  <c r="T7" i="6"/>
  <c r="V7" i="6" s="1"/>
  <c r="T4" i="6"/>
  <c r="V4" i="6" s="1"/>
  <c r="N7" i="6"/>
  <c r="O7" i="6" s="1"/>
  <c r="N5" i="6"/>
  <c r="O5" i="6" s="1"/>
  <c r="O4" i="6"/>
  <c r="M6" i="6"/>
  <c r="N6" i="6" s="1"/>
  <c r="O6" i="6" l="1"/>
  <c r="C4" i="5"/>
  <c r="F5" i="5"/>
  <c r="I5" i="5" s="1"/>
  <c r="F6" i="5"/>
  <c r="I6" i="5" s="1"/>
  <c r="F7" i="5"/>
  <c r="I7" i="5" s="1"/>
  <c r="F8" i="5"/>
  <c r="I8" i="5" s="1"/>
  <c r="F4" i="5"/>
  <c r="C8" i="5"/>
  <c r="E8" i="5" s="1"/>
  <c r="B8" i="5"/>
  <c r="C7" i="5"/>
  <c r="E7" i="5" s="1"/>
  <c r="B7" i="5"/>
  <c r="C6" i="5"/>
  <c r="E6" i="5" s="1"/>
  <c r="B6" i="5"/>
  <c r="C5" i="5"/>
  <c r="E5" i="5" s="1"/>
  <c r="B5" i="5"/>
  <c r="B4" i="5"/>
  <c r="E4" i="5" l="1"/>
  <c r="I4" i="5" s="1"/>
  <c r="G4" i="4"/>
  <c r="K5" i="1" l="1"/>
  <c r="K4" i="1"/>
  <c r="J5" i="1"/>
  <c r="J6" i="1"/>
  <c r="K6" i="1"/>
  <c r="J7" i="1"/>
  <c r="K7" i="1"/>
  <c r="J4" i="1"/>
  <c r="Z6" i="1" l="1"/>
  <c r="Z7" i="1"/>
  <c r="Z5" i="1"/>
  <c r="Z4" i="1"/>
  <c r="C5" i="1"/>
  <c r="W5" i="1" s="1"/>
  <c r="C6" i="1"/>
  <c r="W6" i="1" s="1"/>
  <c r="C7" i="1"/>
  <c r="W7" i="1" s="1"/>
  <c r="C4" i="1"/>
  <c r="W4" i="1" s="1"/>
  <c r="B5" i="1"/>
  <c r="B6" i="1"/>
  <c r="B7" i="1"/>
  <c r="B4" i="1"/>
  <c r="T5" i="1"/>
  <c r="U5" i="1"/>
  <c r="T6" i="1"/>
  <c r="U6" i="1"/>
  <c r="T7" i="1"/>
  <c r="U7" i="1"/>
  <c r="U4" i="1"/>
  <c r="T4" i="1"/>
  <c r="L5" i="1"/>
  <c r="L6" i="1"/>
  <c r="L7" i="1"/>
  <c r="M7" i="1" s="1"/>
  <c r="L4" i="1"/>
  <c r="AB4" i="1" l="1"/>
  <c r="AB6" i="1"/>
  <c r="AB7" i="1"/>
  <c r="AB5" i="1"/>
  <c r="N7" i="1"/>
  <c r="O7" i="1" s="1"/>
  <c r="M4" i="1"/>
  <c r="M6" i="1"/>
  <c r="N6" i="1" s="1"/>
  <c r="M5" i="1"/>
  <c r="N5" i="1" s="1"/>
  <c r="O5" i="1" s="1"/>
  <c r="N4" i="1" l="1"/>
  <c r="O4" i="1" s="1"/>
  <c r="O6" i="1"/>
</calcChain>
</file>

<file path=xl/sharedStrings.xml><?xml version="1.0" encoding="utf-8"?>
<sst xmlns="http://schemas.openxmlformats.org/spreadsheetml/2006/main" count="245" uniqueCount="111">
  <si>
    <t>video_file</t>
  </si>
  <si>
    <t>video_start_h</t>
  </si>
  <si>
    <t>video_start_m</t>
  </si>
  <si>
    <t>video_start_s</t>
  </si>
  <si>
    <t>video_end_h</t>
  </si>
  <si>
    <t>video_end_m</t>
  </si>
  <si>
    <t>video_end_s</t>
  </si>
  <si>
    <t>output_folder</t>
  </si>
  <si>
    <t>total_duration_s</t>
  </si>
  <si>
    <t>video_file_folder</t>
  </si>
  <si>
    <t>video_file_name</t>
  </si>
  <si>
    <t>U:\jorrit\vub_obs\captured\01-KC1EN.mkv</t>
  </si>
  <si>
    <t>U:\jorrit\vub_obs\captured\02-Databases lecture 1.mkv</t>
  </si>
  <si>
    <t>U:\jorrit\vub_obs\captured\03-Databases lecture 2.mkv</t>
  </si>
  <si>
    <t>U:\jorrit\vub_obs\captured\04-Databanken 3 Reduction and Normalisation (NL).mkv</t>
  </si>
  <si>
    <t>U:\jorrit\vub_obs\captured and converted</t>
  </si>
  <si>
    <t>duration_h</t>
  </si>
  <si>
    <t>duration_m</t>
  </si>
  <si>
    <t>duration_s</t>
  </si>
  <si>
    <t>startpixel_row</t>
  </si>
  <si>
    <t>startpixel_col</t>
  </si>
  <si>
    <t>endpixel_row</t>
  </si>
  <si>
    <t>endpixel_col</t>
  </si>
  <si>
    <t>size_h</t>
  </si>
  <si>
    <t>size_v</t>
  </si>
  <si>
    <t>output_video_file</t>
  </si>
  <si>
    <t>crop_convert_cmd</t>
  </si>
  <si>
    <t>start_string</t>
  </si>
  <si>
    <t>end_string</t>
  </si>
  <si>
    <t>ff_vparam</t>
  </si>
  <si>
    <t>ff_aparam</t>
  </si>
  <si>
    <t>ff_tparam</t>
  </si>
  <si>
    <t>-c:a copy</t>
  </si>
  <si>
    <t>input file</t>
  </si>
  <si>
    <t>timing</t>
  </si>
  <si>
    <t>crop</t>
  </si>
  <si>
    <t>output file</t>
  </si>
  <si>
    <t>ffmpeg</t>
  </si>
  <si>
    <t>fill in this data</t>
  </si>
  <si>
    <t>input video file is trimmed</t>
  </si>
  <si>
    <t>then cropped</t>
  </si>
  <si>
    <t>then video stream is converted and audio stream is copied</t>
  </si>
  <si>
    <t>status</t>
  </si>
  <si>
    <t>TRIM CROP CONVERT</t>
  </si>
  <si>
    <t>GENERAL CONFIGURATION</t>
  </si>
  <si>
    <t>ffmpeg location</t>
  </si>
  <si>
    <t>determined by excel</t>
  </si>
  <si>
    <t>video file is first trimmed</t>
  </si>
  <si>
    <t>then it is joined to the audio file</t>
  </si>
  <si>
    <t>TRIM CONVERT JOIN</t>
  </si>
  <si>
    <t>audio_file</t>
  </si>
  <si>
    <t>video_transition_m</t>
  </si>
  <si>
    <t>video_transition_s</t>
  </si>
  <si>
    <t>panopto_transition_m</t>
  </si>
  <si>
    <t>panopto_transition_s</t>
  </si>
  <si>
    <t>delta_total_s</t>
  </si>
  <si>
    <t>cut_video_file</t>
  </si>
  <si>
    <t>cut_video_cmd</t>
  </si>
  <si>
    <t>combined_video_file_name</t>
  </si>
  <si>
    <t>combined_video_cmd</t>
  </si>
  <si>
    <t>D:\education\VUB\Objectgericht programmeren\recordings\ch01-V.mp4</t>
  </si>
  <si>
    <t>D:\education\VUB\Objectgericht programmeren\recordings\ch01-A.mp4</t>
  </si>
  <si>
    <t>D:\education\VUB\Objectgericht programmeren\recordings\ch02-01-V.mp4</t>
  </si>
  <si>
    <t>D:\education\VUB\Objectgericht programmeren\recordings\ch02-01-A.mp4</t>
  </si>
  <si>
    <t>D:\education\VUB\Objectgericht programmeren\recordings\ch02-02-V.mp4</t>
  </si>
  <si>
    <t>D:\education\VUB\Objectgericht programmeren\recordings\ch02-02-A.mp4</t>
  </si>
  <si>
    <t>D:\education\VUB\Objectgericht programmeren\recordings\ch03-01-V.mp4</t>
  </si>
  <si>
    <t>D:\education\VUB\Objectgericht programmeren\recordings\ch03-01-A.mp4</t>
  </si>
  <si>
    <t>D:\education\VUB\Objectgericht programmeren\recordings\ch03-02-V.mp4</t>
  </si>
  <si>
    <t>D:\education\VUB\Objectgericht programmeren\recordings\ch03-02-A.mp4</t>
  </si>
  <si>
    <t>phase 1</t>
  </si>
  <si>
    <t>phase 2</t>
  </si>
  <si>
    <t xml:space="preserve"> </t>
  </si>
  <si>
    <t>status1</t>
  </si>
  <si>
    <t>status2</t>
  </si>
  <si>
    <t>F:\zpd\out</t>
  </si>
  <si>
    <t>F:\zpd\in\P&amp;D 2021- Chapter 2 - Part 1.mp4</t>
  </si>
  <si>
    <t>F:\zpd\in\P&amp;D 2021 -Chapter 2 - Part 2.mp4</t>
  </si>
  <si>
    <t>F:\zpd\in\P&amp;D 2021- Chapter 2 - part 3.mp4</t>
  </si>
  <si>
    <t>F:\zpd\in\P&amp;D 2021- Chapter 3 - part 1.mp4</t>
  </si>
  <si>
    <t>CONVERT</t>
  </si>
  <si>
    <t>video stream is converted and audio stream is copied</t>
  </si>
  <si>
    <t>h264 preset</t>
  </si>
  <si>
    <t>slow</t>
  </si>
  <si>
    <t>crf</t>
  </si>
  <si>
    <t>LEGEND</t>
  </si>
  <si>
    <t>STATUS</t>
  </si>
  <si>
    <t>if status is empty the line will be ignored</t>
  </si>
  <si>
    <t>if status is FAILED the process has failed</t>
  </si>
  <si>
    <t>if status is SUCCESS the process has succeeded</t>
  </si>
  <si>
    <t>if status is x the line will be processed (and only then!)</t>
  </si>
  <si>
    <t>fast</t>
  </si>
  <si>
    <t>veryfast</t>
  </si>
  <si>
    <t>U:\jorrit\vub_panopto_conversies\sem2_batch2\iv08_part1.mp4</t>
  </si>
  <si>
    <t>U:\jorrit\vub_panopto_conversies\sem2_batch2\iv08_part2.mp4</t>
  </si>
  <si>
    <t>U:\jorrit\vub_panopto_conversies\sem2_batch2\iv09.mp4</t>
  </si>
  <si>
    <t>U:\jorrit\vub_panopto_conversies\sem2_batch2\iv11.mp4</t>
  </si>
  <si>
    <t>U:\jorrit\vub_panopto_conversies\sem2_batch2\out</t>
  </si>
  <si>
    <t>C:\Program Files\ffmpeg\5.1\bin\ffmpeg.exe</t>
  </si>
  <si>
    <t>debug</t>
  </si>
  <si>
    <t>SUCCESS</t>
  </si>
  <si>
    <t>media_file_1</t>
  </si>
  <si>
    <t>media_file_2</t>
  </si>
  <si>
    <t>U:\jorrit\vub_panopto_conversies\sem2_batch2\out\iv08_part1.mp4</t>
  </si>
  <si>
    <t>U:\jorrit\vub_panopto_conversies\sem2_batch2\out\iv08_part2.mp4</t>
  </si>
  <si>
    <t>U:\jorrit\vub_panopto_conversies\sem2_batch2\out\joined</t>
  </si>
  <si>
    <t>output_file_name</t>
  </si>
  <si>
    <t>iv08.mp4</t>
  </si>
  <si>
    <t>TRIM CONVERT</t>
  </si>
  <si>
    <t>input file is trimmed</t>
  </si>
  <si>
    <t>U:\jorrit\vub_panopto_conversies\sem2_batch2\iv12.mp4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</si>
</sst>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232629"/>
      <name val="Cascadia Mono"/>
      <family val="3"/>
    </font>
    <font>
      <b/>
      <sz val="20"/>
      <color theme="1"/>
      <name val="Calibri"/>
      <family val="2"/>
      <scheme val="minor"/>
    </font>
    <font>
      <sz val="10"/>
      <color theme="0"/>
      <name val="Cascadia Code"/>
      <family val="3"/>
    </font>
    <font>
      <sz val="10"/>
      <color theme="1"/>
      <name val="Cascadia Code"/>
      <family val="3"/>
    </font>
    <font>
      <b/>
      <sz val="10"/>
      <color rgb="FF232629"/>
      <name val="Cascadia Code"/>
      <family val="3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theme="5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5" tint="0.39997558519241921"/>
      </bottom>
      <diagonal/>
    </border>
    <border>
      <left style="thin">
        <color indexed="64"/>
      </left>
      <right/>
      <top style="thin">
        <color theme="5" tint="0.39997558519241921"/>
      </top>
      <bottom/>
      <diagonal/>
    </border>
    <border>
      <left/>
      <right style="thin">
        <color indexed="64"/>
      </right>
      <top style="thin">
        <color theme="5" tint="0.39997558519241921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</cellStyleXfs>
  <cellXfs count="87">
    <xf numFmtId="0" fontId="0" fillId="0" borderId="0" xfId="0"/>
    <xf numFmtId="0" fontId="3" fillId="7" borderId="0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vertical="center"/>
    </xf>
    <xf numFmtId="0" fontId="0" fillId="7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5" xfId="0" quotePrefix="1" applyBorder="1" applyAlignment="1">
      <alignment vertical="center" wrapText="1"/>
    </xf>
    <xf numFmtId="0" fontId="0" fillId="0" borderId="0" xfId="0" quotePrefix="1" applyBorder="1" applyAlignment="1">
      <alignment vertical="center"/>
    </xf>
    <xf numFmtId="0" fontId="0" fillId="0" borderId="0" xfId="0" quotePrefix="1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vertical="center" wrapText="1"/>
    </xf>
    <xf numFmtId="0" fontId="4" fillId="0" borderId="0" xfId="0" applyFont="1"/>
    <xf numFmtId="0" fontId="6" fillId="0" borderId="0" xfId="0" applyFont="1" applyBorder="1" applyAlignment="1">
      <alignment vertical="center"/>
    </xf>
    <xf numFmtId="0" fontId="7" fillId="7" borderId="5" xfId="0" applyFont="1" applyFill="1" applyBorder="1" applyAlignment="1">
      <alignment horizontal="center" vertical="center" wrapText="1"/>
    </xf>
    <xf numFmtId="0" fontId="7" fillId="8" borderId="0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7" fillId="7" borderId="0" xfId="0" applyFont="1" applyFill="1" applyBorder="1" applyAlignment="1">
      <alignment horizontal="center" vertical="center" wrapText="1"/>
    </xf>
    <xf numFmtId="0" fontId="7" fillId="7" borderId="9" xfId="0" applyFont="1" applyFill="1" applyBorder="1" applyAlignment="1">
      <alignment horizontal="center" vertical="center" wrapText="1"/>
    </xf>
    <xf numFmtId="0" fontId="7" fillId="8" borderId="9" xfId="0" applyFont="1" applyFill="1" applyBorder="1" applyAlignment="1">
      <alignment horizontal="center" vertical="center" wrapText="1"/>
    </xf>
    <xf numFmtId="0" fontId="6" fillId="0" borderId="0" xfId="0" applyFont="1"/>
    <xf numFmtId="0" fontId="7" fillId="7" borderId="13" xfId="0" applyFont="1" applyFill="1" applyBorder="1" applyAlignment="1">
      <alignment horizontal="center" vertical="center" wrapText="1"/>
    </xf>
    <xf numFmtId="0" fontId="7" fillId="7" borderId="14" xfId="0" applyFont="1" applyFill="1" applyBorder="1" applyAlignment="1">
      <alignment horizontal="center" vertical="center" wrapText="1"/>
    </xf>
    <xf numFmtId="0" fontId="7" fillId="8" borderId="14" xfId="0" applyFont="1" applyFill="1" applyBorder="1" applyAlignment="1">
      <alignment horizontal="center" vertical="center" wrapText="1"/>
    </xf>
    <xf numFmtId="0" fontId="7" fillId="8" borderId="13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quotePrefix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1" fillId="0" borderId="0" xfId="0" applyFont="1"/>
    <xf numFmtId="0" fontId="0" fillId="0" borderId="0" xfId="0" quotePrefix="1" applyBorder="1" applyAlignment="1">
      <alignment horizontal="center" vertical="center"/>
    </xf>
    <xf numFmtId="0" fontId="2" fillId="2" borderId="2" xfId="1" applyBorder="1" applyAlignment="1">
      <alignment horizontal="center" vertical="center"/>
    </xf>
    <xf numFmtId="0" fontId="2" fillId="2" borderId="3" xfId="1" applyBorder="1" applyAlignment="1">
      <alignment horizontal="center" vertical="center"/>
    </xf>
    <xf numFmtId="0" fontId="2" fillId="2" borderId="4" xfId="1" applyBorder="1" applyAlignment="1">
      <alignment horizontal="center" vertical="center"/>
    </xf>
    <xf numFmtId="0" fontId="2" fillId="4" borderId="2" xfId="3" applyBorder="1" applyAlignment="1">
      <alignment horizontal="center" vertical="center" wrapText="1"/>
    </xf>
    <xf numFmtId="0" fontId="2" fillId="4" borderId="4" xfId="3" applyBorder="1" applyAlignment="1">
      <alignment horizontal="center" vertical="center" wrapText="1"/>
    </xf>
    <xf numFmtId="0" fontId="2" fillId="5" borderId="2" xfId="4" applyBorder="1" applyAlignment="1">
      <alignment horizontal="center" vertical="center"/>
    </xf>
    <xf numFmtId="0" fontId="2" fillId="5" borderId="3" xfId="4" applyBorder="1" applyAlignment="1">
      <alignment horizontal="center" vertical="center"/>
    </xf>
    <xf numFmtId="0" fontId="2" fillId="5" borderId="4" xfId="4" applyBorder="1" applyAlignment="1">
      <alignment horizontal="center" vertical="center"/>
    </xf>
    <xf numFmtId="0" fontId="2" fillId="6" borderId="2" xfId="5" applyBorder="1" applyAlignment="1">
      <alignment horizontal="center" vertical="center"/>
    </xf>
    <xf numFmtId="0" fontId="2" fillId="6" borderId="3" xfId="5" applyBorder="1" applyAlignment="1">
      <alignment horizontal="center" vertical="center"/>
    </xf>
    <xf numFmtId="0" fontId="2" fillId="6" borderId="4" xfId="5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5" fillId="2" borderId="3" xfId="1" applyFont="1" applyBorder="1" applyAlignment="1">
      <alignment horizontal="center" vertical="center"/>
    </xf>
    <xf numFmtId="0" fontId="5" fillId="2" borderId="4" xfId="1" applyFont="1" applyBorder="1" applyAlignment="1">
      <alignment horizontal="center" vertical="center"/>
    </xf>
    <xf numFmtId="0" fontId="5" fillId="6" borderId="2" xfId="5" applyFont="1" applyBorder="1" applyAlignment="1">
      <alignment horizontal="center" vertical="center"/>
    </xf>
    <xf numFmtId="0" fontId="5" fillId="6" borderId="3" xfId="5" applyFont="1" applyBorder="1" applyAlignment="1">
      <alignment horizontal="center" vertical="center"/>
    </xf>
    <xf numFmtId="0" fontId="5" fillId="6" borderId="4" xfId="5" applyFont="1" applyBorder="1" applyAlignment="1">
      <alignment horizontal="center" vertical="center"/>
    </xf>
    <xf numFmtId="0" fontId="5" fillId="3" borderId="2" xfId="2" applyFont="1" applyBorder="1" applyAlignment="1">
      <alignment horizontal="center" vertical="center"/>
    </xf>
    <xf numFmtId="0" fontId="5" fillId="3" borderId="3" xfId="2" applyFont="1" applyBorder="1" applyAlignment="1">
      <alignment horizontal="center" vertical="center"/>
    </xf>
    <xf numFmtId="0" fontId="5" fillId="3" borderId="4" xfId="2" applyFont="1" applyBorder="1" applyAlignment="1">
      <alignment horizontal="center" vertical="center"/>
    </xf>
    <xf numFmtId="0" fontId="5" fillId="4" borderId="2" xfId="3" applyFont="1" applyBorder="1" applyAlignment="1">
      <alignment horizontal="center" vertical="center" wrapText="1"/>
    </xf>
    <xf numFmtId="0" fontId="5" fillId="4" borderId="4" xfId="3" applyFont="1" applyBorder="1" applyAlignment="1">
      <alignment horizontal="center" vertical="center" wrapText="1"/>
    </xf>
    <xf numFmtId="0" fontId="5" fillId="5" borderId="2" xfId="4" applyFont="1" applyBorder="1" applyAlignment="1">
      <alignment horizontal="center" vertical="center"/>
    </xf>
    <xf numFmtId="0" fontId="5" fillId="5" borderId="3" xfId="4" applyFont="1" applyBorder="1" applyAlignment="1">
      <alignment horizontal="center" vertical="center"/>
    </xf>
    <xf numFmtId="0" fontId="5" fillId="5" borderId="4" xfId="4" applyFont="1" applyBorder="1" applyAlignment="1">
      <alignment horizontal="center" vertical="center"/>
    </xf>
    <xf numFmtId="0" fontId="5" fillId="2" borderId="10" xfId="1" applyFont="1" applyBorder="1" applyAlignment="1">
      <alignment horizontal="center" vertical="center"/>
    </xf>
    <xf numFmtId="0" fontId="5" fillId="2" borderId="12" xfId="1" applyFont="1" applyBorder="1" applyAlignment="1">
      <alignment horizontal="center" vertical="center"/>
    </xf>
    <xf numFmtId="0" fontId="5" fillId="6" borderId="10" xfId="5" applyFont="1" applyBorder="1" applyAlignment="1">
      <alignment horizontal="center" vertical="center"/>
    </xf>
    <xf numFmtId="0" fontId="5" fillId="6" borderId="11" xfId="5" applyFont="1" applyBorder="1" applyAlignment="1">
      <alignment horizontal="center" vertical="center"/>
    </xf>
    <xf numFmtId="0" fontId="5" fillId="6" borderId="12" xfId="5" applyFont="1" applyBorder="1" applyAlignment="1">
      <alignment horizontal="center" vertical="center"/>
    </xf>
    <xf numFmtId="0" fontId="5" fillId="5" borderId="10" xfId="4" applyFont="1" applyBorder="1" applyAlignment="1">
      <alignment horizontal="center" vertical="center"/>
    </xf>
    <xf numFmtId="0" fontId="5" fillId="5" borderId="11" xfId="4" applyFont="1" applyBorder="1" applyAlignment="1">
      <alignment horizontal="center" vertical="center"/>
    </xf>
    <xf numFmtId="0" fontId="5" fillId="5" borderId="12" xfId="4" applyFont="1" applyBorder="1" applyAlignment="1">
      <alignment horizontal="center" vertical="center"/>
    </xf>
    <xf numFmtId="0" fontId="5" fillId="4" borderId="3" xfId="3" applyFont="1" applyBorder="1" applyAlignment="1">
      <alignment horizontal="center" vertical="center" wrapText="1"/>
    </xf>
  </cellXfs>
  <cellStyles count="6">
    <cellStyle name="Accent1" xfId="1" builtinId="29"/>
    <cellStyle name="Accent2" xfId="2" builtinId="33"/>
    <cellStyle name="Accent4" xfId="3" builtinId="41"/>
    <cellStyle name="Accent5" xfId="4" builtinId="45"/>
    <cellStyle name="Accent6" xfId="5" builtinId="4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119743</xdr:colOff>
      <xdr:row>0</xdr:row>
      <xdr:rowOff>43543</xdr:rowOff>
    </xdr:from>
    <xdr:to>
      <xdr:col>7</xdr:col>
      <xdr:colOff>881743</xdr:colOff>
      <xdr:row>0</xdr:row>
      <xdr:rowOff>522514</xdr:rowOff>
    </xdr:to>
    <xdr:sp macro="[0]!clear_c" textlink="">
      <xdr:nvSpPr>
        <xdr:cNvPr id="2" name="Rectangle 1"/>
        <xdr:cNvSpPr/>
      </xdr:nvSpPr>
      <xdr:spPr>
        <a:xfrm>
          <a:off x="11669486" y="43543"/>
          <a:ext cx="762000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clear</a:t>
          </a:r>
        </a:p>
      </xdr:txBody>
    </xdr:sp>
    <xdr:clientData/>
  </xdr:twoCellAnchor>
  <xdr:twoCellAnchor>
    <xdr:from>
      <xdr:col>8</xdr:col>
      <xdr:colOff>76200</xdr:colOff>
      <xdr:row>0</xdr:row>
      <xdr:rowOff>43543</xdr:rowOff>
    </xdr:from>
    <xdr:to>
      <xdr:col>8</xdr:col>
      <xdr:colOff>3820885</xdr:colOff>
      <xdr:row>0</xdr:row>
      <xdr:rowOff>522514</xdr:rowOff>
    </xdr:to>
    <xdr:sp macro="[0]!process_c" textlink="">
      <xdr:nvSpPr>
        <xdr:cNvPr id="4" name="Rectangle 3"/>
        <xdr:cNvSpPr/>
      </xdr:nvSpPr>
      <xdr:spPr>
        <a:xfrm>
          <a:off x="12594771" y="43543"/>
          <a:ext cx="3744685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process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34637</xdr:colOff>
      <xdr:row>0</xdr:row>
      <xdr:rowOff>54429</xdr:rowOff>
    </xdr:from>
    <xdr:to>
      <xdr:col>20</xdr:col>
      <xdr:colOff>923365</xdr:colOff>
      <xdr:row>0</xdr:row>
      <xdr:rowOff>533400</xdr:rowOff>
    </xdr:to>
    <xdr:sp macro="[0]!clear_tc" textlink="">
      <xdr:nvSpPr>
        <xdr:cNvPr id="2" name="Rectangle 1"/>
        <xdr:cNvSpPr/>
      </xdr:nvSpPr>
      <xdr:spPr>
        <a:xfrm>
          <a:off x="19712166" y="54429"/>
          <a:ext cx="888728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clear</a:t>
          </a:r>
        </a:p>
      </xdr:txBody>
    </xdr:sp>
    <xdr:clientData/>
  </xdr:twoCellAnchor>
  <xdr:twoCellAnchor>
    <xdr:from>
      <xdr:col>21</xdr:col>
      <xdr:colOff>69273</xdr:colOff>
      <xdr:row>0</xdr:row>
      <xdr:rowOff>43543</xdr:rowOff>
    </xdr:from>
    <xdr:to>
      <xdr:col>21</xdr:col>
      <xdr:colOff>3872752</xdr:colOff>
      <xdr:row>0</xdr:row>
      <xdr:rowOff>522514</xdr:rowOff>
    </xdr:to>
    <xdr:sp macro="[0]!process_tc" textlink="">
      <xdr:nvSpPr>
        <xdr:cNvPr id="3" name="Rectangle 2"/>
        <xdr:cNvSpPr/>
      </xdr:nvSpPr>
      <xdr:spPr>
        <a:xfrm>
          <a:off x="20714991" y="43543"/>
          <a:ext cx="3803479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process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76201</xdr:colOff>
      <xdr:row>0</xdr:row>
      <xdr:rowOff>54429</xdr:rowOff>
    </xdr:from>
    <xdr:to>
      <xdr:col>26</xdr:col>
      <xdr:colOff>881743</xdr:colOff>
      <xdr:row>0</xdr:row>
      <xdr:rowOff>533400</xdr:rowOff>
    </xdr:to>
    <xdr:sp macro="[0]!clear_tcc" textlink="">
      <xdr:nvSpPr>
        <xdr:cNvPr id="2" name="Rectangle 1"/>
        <xdr:cNvSpPr/>
      </xdr:nvSpPr>
      <xdr:spPr>
        <a:xfrm>
          <a:off x="24351344" y="54429"/>
          <a:ext cx="805542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clear</a:t>
          </a:r>
        </a:p>
      </xdr:txBody>
    </xdr:sp>
    <xdr:clientData/>
  </xdr:twoCellAnchor>
  <xdr:twoCellAnchor>
    <xdr:from>
      <xdr:col>27</xdr:col>
      <xdr:colOff>65315</xdr:colOff>
      <xdr:row>0</xdr:row>
      <xdr:rowOff>43543</xdr:rowOff>
    </xdr:from>
    <xdr:to>
      <xdr:col>27</xdr:col>
      <xdr:colOff>3842658</xdr:colOff>
      <xdr:row>0</xdr:row>
      <xdr:rowOff>522514</xdr:rowOff>
    </xdr:to>
    <xdr:sp macro="[0]!process_tcc" textlink="">
      <xdr:nvSpPr>
        <xdr:cNvPr id="3" name="Rectangle 2"/>
        <xdr:cNvSpPr/>
      </xdr:nvSpPr>
      <xdr:spPr>
        <a:xfrm>
          <a:off x="25309286" y="43543"/>
          <a:ext cx="3777343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process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48493</xdr:colOff>
      <xdr:row>0</xdr:row>
      <xdr:rowOff>40575</xdr:rowOff>
    </xdr:from>
    <xdr:to>
      <xdr:col>10</xdr:col>
      <xdr:colOff>1094509</xdr:colOff>
      <xdr:row>0</xdr:row>
      <xdr:rowOff>519546</xdr:rowOff>
    </xdr:to>
    <xdr:sp macro="[0]!clear_tcj1" textlink="">
      <xdr:nvSpPr>
        <xdr:cNvPr id="2" name="Rectangle 1"/>
        <xdr:cNvSpPr/>
      </xdr:nvSpPr>
      <xdr:spPr>
        <a:xfrm>
          <a:off x="13542820" y="40575"/>
          <a:ext cx="1046016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clear</a:t>
          </a:r>
        </a:p>
      </xdr:txBody>
    </xdr:sp>
    <xdr:clientData/>
  </xdr:twoCellAnchor>
  <xdr:twoCellAnchor>
    <xdr:from>
      <xdr:col>11</xdr:col>
      <xdr:colOff>83128</xdr:colOff>
      <xdr:row>0</xdr:row>
      <xdr:rowOff>57398</xdr:rowOff>
    </xdr:from>
    <xdr:to>
      <xdr:col>11</xdr:col>
      <xdr:colOff>2369127</xdr:colOff>
      <xdr:row>0</xdr:row>
      <xdr:rowOff>536369</xdr:rowOff>
    </xdr:to>
    <xdr:sp macro="[0]!process_tcj1" textlink="">
      <xdr:nvSpPr>
        <xdr:cNvPr id="3" name="Rectangle 2"/>
        <xdr:cNvSpPr/>
      </xdr:nvSpPr>
      <xdr:spPr>
        <a:xfrm>
          <a:off x="14727383" y="57398"/>
          <a:ext cx="2285999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process</a:t>
          </a:r>
        </a:p>
      </xdr:txBody>
    </xdr:sp>
    <xdr:clientData/>
  </xdr:twoCellAnchor>
  <xdr:twoCellAnchor>
    <xdr:from>
      <xdr:col>13</xdr:col>
      <xdr:colOff>62348</xdr:colOff>
      <xdr:row>0</xdr:row>
      <xdr:rowOff>40575</xdr:rowOff>
    </xdr:from>
    <xdr:to>
      <xdr:col>13</xdr:col>
      <xdr:colOff>1108364</xdr:colOff>
      <xdr:row>0</xdr:row>
      <xdr:rowOff>519546</xdr:rowOff>
    </xdr:to>
    <xdr:sp macro="[0]!clear_tcj2" textlink="">
      <xdr:nvSpPr>
        <xdr:cNvPr id="4" name="Rectangle 3"/>
        <xdr:cNvSpPr/>
      </xdr:nvSpPr>
      <xdr:spPr>
        <a:xfrm>
          <a:off x="18807548" y="40575"/>
          <a:ext cx="1046016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clear</a:t>
          </a:r>
        </a:p>
      </xdr:txBody>
    </xdr:sp>
    <xdr:clientData/>
  </xdr:twoCellAnchor>
  <xdr:twoCellAnchor>
    <xdr:from>
      <xdr:col>14</xdr:col>
      <xdr:colOff>41565</xdr:colOff>
      <xdr:row>0</xdr:row>
      <xdr:rowOff>43544</xdr:rowOff>
    </xdr:from>
    <xdr:to>
      <xdr:col>14</xdr:col>
      <xdr:colOff>4502728</xdr:colOff>
      <xdr:row>0</xdr:row>
      <xdr:rowOff>522515</xdr:rowOff>
    </xdr:to>
    <xdr:sp macro="[0]!process_tcj2" textlink="">
      <xdr:nvSpPr>
        <xdr:cNvPr id="5" name="Rectangle 4"/>
        <xdr:cNvSpPr/>
      </xdr:nvSpPr>
      <xdr:spPr>
        <a:xfrm>
          <a:off x="19936692" y="43544"/>
          <a:ext cx="4461163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process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62348</xdr:colOff>
      <xdr:row>0</xdr:row>
      <xdr:rowOff>40575</xdr:rowOff>
    </xdr:from>
    <xdr:to>
      <xdr:col>5</xdr:col>
      <xdr:colOff>1108364</xdr:colOff>
      <xdr:row>0</xdr:row>
      <xdr:rowOff>519546</xdr:rowOff>
    </xdr:to>
    <xdr:sp macro="[0]!clear_j" textlink="">
      <xdr:nvSpPr>
        <xdr:cNvPr id="4" name="Rectangle 3"/>
        <xdr:cNvSpPr/>
      </xdr:nvSpPr>
      <xdr:spPr>
        <a:xfrm>
          <a:off x="18807548" y="40575"/>
          <a:ext cx="1046016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clear</a:t>
          </a:r>
        </a:p>
      </xdr:txBody>
    </xdr:sp>
    <xdr:clientData/>
  </xdr:twoCellAnchor>
  <xdr:twoCellAnchor>
    <xdr:from>
      <xdr:col>6</xdr:col>
      <xdr:colOff>41565</xdr:colOff>
      <xdr:row>0</xdr:row>
      <xdr:rowOff>43544</xdr:rowOff>
    </xdr:from>
    <xdr:to>
      <xdr:col>6</xdr:col>
      <xdr:colOff>4502728</xdr:colOff>
      <xdr:row>0</xdr:row>
      <xdr:rowOff>522515</xdr:rowOff>
    </xdr:to>
    <xdr:sp macro="[0]!process_j" textlink="">
      <xdr:nvSpPr>
        <xdr:cNvPr id="5" name="Rectangle 4"/>
        <xdr:cNvSpPr/>
      </xdr:nvSpPr>
      <xdr:spPr>
        <a:xfrm>
          <a:off x="19937385" y="43544"/>
          <a:ext cx="4461163" cy="4789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nl-BE" sz="1100"/>
            <a:t>process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X29"/>
  <sheetViews>
    <sheetView zoomScale="70" zoomScaleNormal="70" workbookViewId="0"/>
  </sheetViews>
  <sheetFormatPr defaultRowHeight="14.4" x14ac:dyDescent="0.3"/>
  <cols>
    <col min="1" max="1" width="57.109375" customWidth="1"/>
  </cols>
  <sheetData>
    <row r="1" spans="1:1" ht="25.8" x14ac:dyDescent="0.5">
      <c r="A1" s="26" t="s">
        <v>85</v>
      </c>
    </row>
    <row r="2" spans="1:1" ht="14.4" customHeight="1" x14ac:dyDescent="0.3">
      <c r="A2" s="1" t="s">
        <v>38</v>
      </c>
    </row>
    <row r="3" spans="1:1" ht="14.4" customHeight="1" x14ac:dyDescent="0.3">
      <c r="A3" s="2" t="s">
        <v>46</v>
      </c>
    </row>
    <row r="4" spans="1:1" ht="14.4" customHeight="1" x14ac:dyDescent="0.3"/>
    <row r="5" spans="1:1" ht="25.8" x14ac:dyDescent="0.5">
      <c r="A5" s="26" t="s">
        <v>86</v>
      </c>
    </row>
    <row r="6" spans="1:1" ht="14.4" customHeight="1" x14ac:dyDescent="0.3">
      <c r="A6" t="s">
        <v>87</v>
      </c>
    </row>
    <row r="7" spans="1:1" ht="14.4" customHeight="1" x14ac:dyDescent="0.3">
      <c r="A7" t="s">
        <v>90</v>
      </c>
    </row>
    <row r="8" spans="1:1" ht="14.4" customHeight="1" x14ac:dyDescent="0.3">
      <c r="A8" t="s">
        <v>88</v>
      </c>
    </row>
    <row r="9" spans="1:1" ht="14.4" customHeight="1" x14ac:dyDescent="0.3">
      <c r="A9" t="s">
        <v>89</v>
      </c>
    </row>
    <row r="10" spans="1:1" ht="14.4" customHeight="1" x14ac:dyDescent="0.3"/>
    <row r="11" spans="1:1" ht="25.8" x14ac:dyDescent="0.5">
      <c r="A11" s="26" t="s">
        <v>80</v>
      </c>
    </row>
    <row r="12" spans="1:1" ht="14.4" customHeight="1" x14ac:dyDescent="0.3">
      <c r="A12" t="s">
        <v>81</v>
      </c>
    </row>
    <row r="13" spans="1:1" ht="14.4" customHeight="1" x14ac:dyDescent="0.3"/>
    <row r="14" spans="1:1" ht="25.8" x14ac:dyDescent="0.5">
      <c r="A14" s="26" t="s">
        <v>108</v>
      </c>
    </row>
    <row r="15" spans="1:1" ht="14.4" customHeight="1" x14ac:dyDescent="0.3">
      <c r="A15" t="s">
        <v>109</v>
      </c>
    </row>
    <row r="16" spans="1:1" ht="14.4" customHeight="1" x14ac:dyDescent="0.3">
      <c r="A16" t="s">
        <v>81</v>
      </c>
    </row>
    <row r="17" spans="1:24" ht="14.4" customHeight="1" x14ac:dyDescent="0.3"/>
    <row r="18" spans="1:24" ht="25.8" x14ac:dyDescent="0.5">
      <c r="A18" s="26" t="s">
        <v>43</v>
      </c>
    </row>
    <row r="19" spans="1:24" x14ac:dyDescent="0.3">
      <c r="A19" t="s">
        <v>39</v>
      </c>
    </row>
    <row r="20" spans="1:24" x14ac:dyDescent="0.3">
      <c r="A20" t="s">
        <v>40</v>
      </c>
    </row>
    <row r="21" spans="1:24" x14ac:dyDescent="0.3">
      <c r="A21" t="s">
        <v>41</v>
      </c>
    </row>
    <row r="23" spans="1:24" ht="25.8" x14ac:dyDescent="0.5">
      <c r="A23" s="26" t="s">
        <v>49</v>
      </c>
    </row>
    <row r="24" spans="1:24" s="5" customFormat="1" x14ac:dyDescent="0.3">
      <c r="A24" t="s">
        <v>47</v>
      </c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6"/>
      <c r="W24" s="6"/>
      <c r="X24" s="6"/>
    </row>
    <row r="25" spans="1:24" s="5" customFormat="1" x14ac:dyDescent="0.3">
      <c r="A25" t="s">
        <v>48</v>
      </c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6"/>
      <c r="W25" s="6"/>
      <c r="X25" s="6"/>
    </row>
    <row r="26" spans="1:24" s="5" customFormat="1" x14ac:dyDescent="0.3">
      <c r="A26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6"/>
      <c r="W26" s="6"/>
      <c r="X26" s="6"/>
    </row>
    <row r="27" spans="1:24" s="5" customFormat="1" x14ac:dyDescent="0.3">
      <c r="A2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6"/>
      <c r="W27" s="6"/>
      <c r="X27" s="6"/>
    </row>
    <row r="28" spans="1:24" s="5" customFormat="1" x14ac:dyDescent="0.3">
      <c r="A28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6"/>
      <c r="W28" s="6"/>
      <c r="X28" s="6"/>
    </row>
    <row r="29" spans="1:24" s="5" customFormat="1" x14ac:dyDescent="0.3"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6"/>
      <c r="W29" s="6"/>
      <c r="X29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6"/>
  <sheetViews>
    <sheetView zoomScale="70" zoomScaleNormal="70" workbookViewId="0"/>
  </sheetViews>
  <sheetFormatPr defaultRowHeight="14.4" x14ac:dyDescent="0.3"/>
  <cols>
    <col min="1" max="1" width="31.44140625" customWidth="1"/>
    <col min="2" max="2" width="56.44140625" customWidth="1"/>
  </cols>
  <sheetData>
    <row r="1" spans="1:6" ht="25.8" x14ac:dyDescent="0.5">
      <c r="A1" s="26" t="s">
        <v>44</v>
      </c>
    </row>
    <row r="3" spans="1:6" x14ac:dyDescent="0.3">
      <c r="A3" s="3" t="s">
        <v>45</v>
      </c>
      <c r="B3" s="4" t="s">
        <v>98</v>
      </c>
      <c r="C3" s="5"/>
      <c r="D3" s="17"/>
    </row>
    <row r="4" spans="1:6" x14ac:dyDescent="0.3">
      <c r="A4" s="51" t="s">
        <v>82</v>
      </c>
      <c r="B4" t="s">
        <v>83</v>
      </c>
      <c r="C4" s="5"/>
      <c r="D4" s="17" t="s">
        <v>83</v>
      </c>
      <c r="E4" t="s">
        <v>91</v>
      </c>
      <c r="F4" t="s">
        <v>92</v>
      </c>
    </row>
    <row r="5" spans="1:6" x14ac:dyDescent="0.3">
      <c r="A5" s="51" t="s">
        <v>84</v>
      </c>
      <c r="B5" s="48">
        <v>23</v>
      </c>
      <c r="C5" s="5"/>
      <c r="D5" s="17">
        <v>23</v>
      </c>
      <c r="E5">
        <v>25</v>
      </c>
    </row>
    <row r="6" spans="1:6" x14ac:dyDescent="0.3">
      <c r="A6" s="3" t="s">
        <v>99</v>
      </c>
      <c r="B6" s="50" t="b">
        <v>0</v>
      </c>
      <c r="C6" s="5"/>
      <c r="D6" s="1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I32"/>
  <sheetViews>
    <sheetView tabSelected="1" zoomScale="70" zoomScaleNormal="70" workbookViewId="0">
      <pane ySplit="3" topLeftCell="A4" activePane="bottomLeft" state="frozen"/>
      <selection pane="bottomLeft" activeCell="E25" sqref="E25"/>
    </sheetView>
  </sheetViews>
  <sheetFormatPr defaultColWidth="9.109375" defaultRowHeight="14.4" x14ac:dyDescent="0.3"/>
  <cols>
    <col min="1" max="1" width="33.88671875" style="5" customWidth="1"/>
    <col min="2" max="3" width="17.88671875" style="5" customWidth="1"/>
    <col min="4" max="5" width="21.6640625" style="6" customWidth="1"/>
    <col min="6" max="6" width="41" style="6" customWidth="1"/>
    <col min="7" max="8" width="14.109375" style="5" customWidth="1"/>
    <col min="9" max="9" width="57" style="5" customWidth="1"/>
    <col min="10" max="16384" width="9.109375" style="5"/>
  </cols>
  <sheetData>
    <row r="1" spans="1:9" ht="45" customHeight="1" x14ac:dyDescent="0.3"/>
    <row r="2" spans="1:9" x14ac:dyDescent="0.3">
      <c r="A2" s="53" t="s">
        <v>33</v>
      </c>
      <c r="B2" s="54"/>
      <c r="C2" s="55"/>
      <c r="D2" s="56" t="s">
        <v>36</v>
      </c>
      <c r="E2" s="57"/>
      <c r="F2" s="58" t="s">
        <v>37</v>
      </c>
      <c r="G2" s="59"/>
      <c r="H2" s="59"/>
      <c r="I2" s="60"/>
    </row>
    <row r="3" spans="1:9" ht="28.8" x14ac:dyDescent="0.3">
      <c r="A3" s="45" t="s">
        <v>0</v>
      </c>
      <c r="B3" s="2" t="s">
        <v>9</v>
      </c>
      <c r="C3" s="46" t="s">
        <v>10</v>
      </c>
      <c r="D3" s="45" t="s">
        <v>7</v>
      </c>
      <c r="E3" s="46" t="s">
        <v>25</v>
      </c>
      <c r="F3" s="2" t="s">
        <v>29</v>
      </c>
      <c r="G3" s="2" t="s">
        <v>30</v>
      </c>
      <c r="H3" s="2" t="s">
        <v>42</v>
      </c>
      <c r="I3" s="47" t="s">
        <v>26</v>
      </c>
    </row>
    <row r="4" spans="1:9" ht="43.2" customHeight="1" x14ac:dyDescent="0.3">
      <c r="A4" s="8" t="s">
        <v>110</v>
      </c>
      <c r="B4" s="6" t="str">
        <f>LEFT(A4,FIND("?",SUBSTITUTE(A4,"\","?",LEN(A4)-LEN(SUBSTITUTE(A4,"\","")))))</f>
        <v>U:\jorrit\vub_panopto_conversies\sem2_batch2\</v>
      </c>
      <c r="C4" s="9" t="str">
        <f>MID(A4,FIND("?",SUBSTITUTE(A4,"\","?",LEN(A4)-LEN(SUBSTITUTE(A4,"\",""))))+1,LEN(A4))</f>
        <v>iv12.mp4</v>
      </c>
      <c r="D4" s="8" t="s">
        <v>97</v>
      </c>
      <c r="E4" s="9" t="str">
        <f>D4&amp;"\"&amp;C4</f>
        <v>U:\jorrit\vub_panopto_conversies\sem2_batch2\out\iv12.mp4</v>
      </c>
      <c r="F4" s="10" t="str">
        <f>"-c:v libx264 -preset "&amp;preset&amp;" -crf "&amp;crf</f>
        <v>-c:v libx264 -preset slow -crf 23</v>
      </c>
      <c r="G4" s="11" t="s">
        <v>32</v>
      </c>
      <c r="H4" s="52" t="s">
        <v>100</v>
      </c>
      <c r="I4" s="9" t="str">
        <f>" -i """&amp;A4&amp;""" "&amp;F4&amp;" "&amp;G4&amp;" -y """&amp;E4&amp;""""</f>
        <v xml:space="preserve"> -i "U:\jorrit\vub_panopto_conversies\sem2_batch2\iv12.mp4" -c:v libx264 -preset slow -crf 23 -c:a copy -y "U:\jorrit\vub_panopto_conversies\sem2_batch2\out\iv12.mp4"</v>
      </c>
    </row>
    <row r="5" spans="1:9" ht="43.2" x14ac:dyDescent="0.3">
      <c r="A5" s="8" t="s">
        <v>76</v>
      </c>
      <c r="B5" s="6" t="str">
        <f>LEFT(A5,FIND("?",SUBSTITUTE(A5,"\","?",LEN(A5)-LEN(SUBSTITUTE(A5,"\","")))))</f>
        <v>F:\zpd\in\</v>
      </c>
      <c r="C5" s="9" t="str">
        <f>MID(A5,FIND("?",SUBSTITUTE(A5,"\","?",LEN(A5)-LEN(SUBSTITUTE(A5,"\",""))))+1,LEN(A5))</f>
        <v>P&amp;D 2021- Chapter 2 - Part 1.mp4</v>
      </c>
      <c r="D5" s="8" t="s">
        <v>75</v>
      </c>
      <c r="E5" s="9" t="str">
        <f>D5&amp;"\"&amp;C5</f>
        <v>F:\zpd\out\P&amp;D 2021- Chapter 2 - Part 1.mp4</v>
      </c>
      <c r="F5" s="10" t="str">
        <f>"-c:v libx264 -preset "&amp;preset&amp;" -crf "&amp;crf</f>
        <v>-c:v libx264 -preset slow -crf 23</v>
      </c>
      <c r="G5" s="11" t="s">
        <v>32</v>
      </c>
      <c r="H5" s="52"/>
      <c r="I5" s="9" t="str">
        <f t="shared" ref="I5:I8" si="0">" -i """&amp;A5&amp;""" "&amp;F5&amp;" "&amp;G5&amp;" -y """&amp;E5&amp;""""</f>
        <v xml:space="preserve"> -i "F:\zpd\in\P&amp;D 2021- Chapter 2 - Part 1.mp4" -c:v libx264 -preset slow -crf 23 -c:a copy -y "F:\zpd\out\P&amp;D 2021- Chapter 2 - Part 1.mp4"</v>
      </c>
    </row>
    <row r="6" spans="1:9" ht="43.2" x14ac:dyDescent="0.3">
      <c r="A6" s="8" t="s">
        <v>77</v>
      </c>
      <c r="B6" s="6" t="str">
        <f>LEFT(A6,FIND("?",SUBSTITUTE(A6,"\","?",LEN(A6)-LEN(SUBSTITUTE(A6,"\","")))))</f>
        <v>F:\zpd\in\</v>
      </c>
      <c r="C6" s="9" t="str">
        <f>MID(A6,FIND("?",SUBSTITUTE(A6,"\","?",LEN(A6)-LEN(SUBSTITUTE(A6,"\",""))))+1,LEN(A6))</f>
        <v>P&amp;D 2021 -Chapter 2 - Part 2.mp4</v>
      </c>
      <c r="D6" s="8" t="s">
        <v>75</v>
      </c>
      <c r="E6" s="9" t="str">
        <f>D6&amp;"\"&amp;C6</f>
        <v>F:\zpd\out\P&amp;D 2021 -Chapter 2 - Part 2.mp4</v>
      </c>
      <c r="F6" s="10" t="str">
        <f>"-c:v libx264 -preset "&amp;preset&amp;" -crf "&amp;crf</f>
        <v>-c:v libx264 -preset slow -crf 23</v>
      </c>
      <c r="G6" s="11" t="s">
        <v>32</v>
      </c>
      <c r="H6" s="52"/>
      <c r="I6" s="9" t="str">
        <f t="shared" si="0"/>
        <v xml:space="preserve"> -i "F:\zpd\in\P&amp;D 2021 -Chapter 2 - Part 2.mp4" -c:v libx264 -preset slow -crf 23 -c:a copy -y "F:\zpd\out\P&amp;D 2021 -Chapter 2 - Part 2.mp4"</v>
      </c>
    </row>
    <row r="7" spans="1:9" ht="43.2" x14ac:dyDescent="0.3">
      <c r="A7" s="8" t="s">
        <v>78</v>
      </c>
      <c r="B7" s="6" t="str">
        <f>LEFT(A7,FIND("?",SUBSTITUTE(A7,"\","?",LEN(A7)-LEN(SUBSTITUTE(A7,"\","")))))</f>
        <v>F:\zpd\in\</v>
      </c>
      <c r="C7" s="9" t="str">
        <f>MID(A7,FIND("?",SUBSTITUTE(A7,"\","?",LEN(A7)-LEN(SUBSTITUTE(A7,"\",""))))+1,LEN(A7))</f>
        <v>P&amp;D 2021- Chapter 2 - part 3.mp4</v>
      </c>
      <c r="D7" s="8" t="s">
        <v>75</v>
      </c>
      <c r="E7" s="9" t="str">
        <f>D7&amp;"\"&amp;C7</f>
        <v>F:\zpd\out\P&amp;D 2021- Chapter 2 - part 3.mp4</v>
      </c>
      <c r="F7" s="10" t="str">
        <f>"-c:v libx264 -preset "&amp;preset&amp;" -crf "&amp;crf</f>
        <v>-c:v libx264 -preset slow -crf 23</v>
      </c>
      <c r="G7" s="11" t="s">
        <v>32</v>
      </c>
      <c r="H7" s="52"/>
      <c r="I7" s="9" t="str">
        <f t="shared" si="0"/>
        <v xml:space="preserve"> -i "F:\zpd\in\P&amp;D 2021- Chapter 2 - part 3.mp4" -c:v libx264 -preset slow -crf 23 -c:a copy -y "F:\zpd\out\P&amp;D 2021- Chapter 2 - part 3.mp4"</v>
      </c>
    </row>
    <row r="8" spans="1:9" ht="43.2" x14ac:dyDescent="0.3">
      <c r="A8" s="8" t="s">
        <v>79</v>
      </c>
      <c r="B8" s="6" t="str">
        <f>LEFT(A8,FIND("?",SUBSTITUTE(A8,"\","?",LEN(A8)-LEN(SUBSTITUTE(A8,"\","")))))</f>
        <v>F:\zpd\in\</v>
      </c>
      <c r="C8" s="9" t="str">
        <f>MID(A8,FIND("?",SUBSTITUTE(A8,"\","?",LEN(A8)-LEN(SUBSTITUTE(A8,"\",""))))+1,LEN(A8))</f>
        <v>P&amp;D 2021- Chapter 3 - part 1.mp4</v>
      </c>
      <c r="D8" s="8" t="s">
        <v>75</v>
      </c>
      <c r="E8" s="9" t="str">
        <f>D8&amp;"\"&amp;C8</f>
        <v>F:\zpd\out\P&amp;D 2021- Chapter 3 - part 1.mp4</v>
      </c>
      <c r="F8" s="10" t="str">
        <f>"-c:v libx264 -preset "&amp;preset&amp;" -crf "&amp;crf</f>
        <v>-c:v libx264 -preset slow -crf 23</v>
      </c>
      <c r="G8" s="11" t="s">
        <v>32</v>
      </c>
      <c r="H8" s="52"/>
      <c r="I8" s="9" t="str">
        <f t="shared" si="0"/>
        <v xml:space="preserve"> -i "F:\zpd\in\P&amp;D 2021- Chapter 3 - part 1.mp4" -c:v libx264 -preset slow -crf 23 -c:a copy -y "F:\zpd\out\P&amp;D 2021- Chapter 3 - part 1.mp4"</v>
      </c>
    </row>
    <row r="9" spans="1:9" x14ac:dyDescent="0.3">
      <c r="A9" s="8"/>
      <c r="B9" s="6"/>
      <c r="C9" s="9"/>
      <c r="D9" s="8"/>
      <c r="E9" s="9"/>
      <c r="F9" s="8"/>
      <c r="H9" s="17"/>
      <c r="I9" s="7"/>
    </row>
    <row r="10" spans="1:9" x14ac:dyDescent="0.3">
      <c r="A10" s="8"/>
      <c r="B10" s="6"/>
      <c r="C10" s="9"/>
      <c r="D10" s="8"/>
      <c r="E10" s="9"/>
      <c r="F10" s="8"/>
      <c r="H10" s="17"/>
      <c r="I10" s="7"/>
    </row>
    <row r="11" spans="1:9" x14ac:dyDescent="0.3">
      <c r="A11" s="8"/>
      <c r="B11" s="6"/>
      <c r="C11" s="9"/>
      <c r="D11" s="8"/>
      <c r="E11" s="9"/>
      <c r="F11" s="8"/>
      <c r="H11" s="17"/>
      <c r="I11" s="7"/>
    </row>
    <row r="12" spans="1:9" x14ac:dyDescent="0.3">
      <c r="A12" s="8"/>
      <c r="B12" s="6"/>
      <c r="C12" s="9"/>
      <c r="D12" s="8"/>
      <c r="E12" s="9"/>
      <c r="F12" s="8"/>
      <c r="H12" s="17"/>
      <c r="I12" s="7"/>
    </row>
    <row r="13" spans="1:9" x14ac:dyDescent="0.3">
      <c r="A13" s="8"/>
      <c r="B13" s="6"/>
      <c r="C13" s="9"/>
      <c r="D13" s="8"/>
      <c r="E13" s="9"/>
      <c r="F13" s="8"/>
      <c r="H13" s="17"/>
      <c r="I13" s="7"/>
    </row>
    <row r="14" spans="1:9" x14ac:dyDescent="0.3">
      <c r="A14" s="8"/>
      <c r="B14" s="6"/>
      <c r="C14" s="9"/>
      <c r="D14" s="8"/>
      <c r="E14" s="9"/>
      <c r="F14" s="8"/>
      <c r="H14" s="17"/>
      <c r="I14" s="7"/>
    </row>
    <row r="15" spans="1:9" x14ac:dyDescent="0.3">
      <c r="A15" s="8"/>
      <c r="B15" s="6"/>
      <c r="C15" s="9"/>
      <c r="D15" s="8"/>
      <c r="E15" s="9"/>
      <c r="F15" s="8"/>
      <c r="H15" s="17"/>
      <c r="I15" s="7"/>
    </row>
    <row r="16" spans="1:9" x14ac:dyDescent="0.3">
      <c r="A16" s="8"/>
      <c r="B16" s="6"/>
      <c r="C16" s="9"/>
      <c r="D16" s="8"/>
      <c r="E16" s="9"/>
      <c r="F16" s="8"/>
      <c r="H16" s="17"/>
      <c r="I16" s="7"/>
    </row>
    <row r="17" spans="1:9" x14ac:dyDescent="0.3">
      <c r="A17" s="8"/>
      <c r="B17" s="6"/>
      <c r="C17" s="9"/>
      <c r="D17" s="8"/>
      <c r="E17" s="9"/>
      <c r="F17" s="8"/>
      <c r="H17" s="17"/>
      <c r="I17" s="7"/>
    </row>
    <row r="18" spans="1:9" x14ac:dyDescent="0.3">
      <c r="A18" s="8"/>
      <c r="B18" s="6"/>
      <c r="C18" s="9"/>
      <c r="D18" s="8"/>
      <c r="E18" s="9"/>
      <c r="F18" s="8"/>
      <c r="H18" s="17"/>
      <c r="I18" s="7"/>
    </row>
    <row r="19" spans="1:9" x14ac:dyDescent="0.3">
      <c r="A19" s="8"/>
      <c r="B19" s="6"/>
      <c r="C19" s="9"/>
      <c r="D19" s="8"/>
      <c r="E19" s="9"/>
      <c r="F19" s="8"/>
      <c r="H19" s="17"/>
      <c r="I19" s="7"/>
    </row>
    <row r="20" spans="1:9" x14ac:dyDescent="0.3">
      <c r="A20" s="8"/>
      <c r="B20" s="6"/>
      <c r="C20" s="9"/>
      <c r="D20" s="8"/>
      <c r="E20" s="9"/>
      <c r="F20" s="8"/>
      <c r="H20" s="17"/>
      <c r="I20" s="7"/>
    </row>
    <row r="21" spans="1:9" x14ac:dyDescent="0.3">
      <c r="A21" s="8"/>
      <c r="B21" s="6"/>
      <c r="C21" s="9"/>
      <c r="D21" s="8"/>
      <c r="E21" s="9"/>
      <c r="F21" s="8"/>
      <c r="H21" s="17"/>
      <c r="I21" s="7"/>
    </row>
    <row r="22" spans="1:9" x14ac:dyDescent="0.3">
      <c r="A22" s="8"/>
      <c r="B22" s="6"/>
      <c r="C22" s="9"/>
      <c r="D22" s="8"/>
      <c r="E22" s="9"/>
      <c r="F22" s="8"/>
      <c r="H22" s="17"/>
      <c r="I22" s="7"/>
    </row>
    <row r="23" spans="1:9" x14ac:dyDescent="0.3">
      <c r="A23" s="8"/>
      <c r="B23" s="6"/>
      <c r="C23" s="9"/>
      <c r="D23" s="8"/>
      <c r="E23" s="9"/>
      <c r="F23" s="8"/>
      <c r="H23" s="17"/>
      <c r="I23" s="7"/>
    </row>
    <row r="24" spans="1:9" x14ac:dyDescent="0.3">
      <c r="A24" s="8"/>
      <c r="B24" s="6"/>
      <c r="C24" s="9"/>
      <c r="D24" s="8"/>
      <c r="E24" s="9"/>
      <c r="F24" s="8"/>
      <c r="H24" s="17"/>
      <c r="I24" s="7"/>
    </row>
    <row r="25" spans="1:9" x14ac:dyDescent="0.3">
      <c r="A25" s="8"/>
      <c r="B25" s="6"/>
      <c r="C25" s="9"/>
      <c r="D25" s="8"/>
      <c r="E25" s="9"/>
      <c r="F25" s="8"/>
      <c r="H25" s="17"/>
      <c r="I25" s="7"/>
    </row>
    <row r="26" spans="1:9" x14ac:dyDescent="0.3">
      <c r="A26" s="8"/>
      <c r="B26" s="6"/>
      <c r="C26" s="9"/>
      <c r="D26" s="8"/>
      <c r="E26" s="9"/>
      <c r="F26" s="8"/>
      <c r="H26" s="17"/>
      <c r="I26" s="7"/>
    </row>
    <row r="27" spans="1:9" x14ac:dyDescent="0.3">
      <c r="A27" s="8"/>
      <c r="B27" s="6"/>
      <c r="C27" s="9"/>
      <c r="D27" s="8"/>
      <c r="E27" s="9"/>
      <c r="F27" s="8"/>
      <c r="H27" s="17"/>
      <c r="I27" s="7"/>
    </row>
    <row r="28" spans="1:9" x14ac:dyDescent="0.3">
      <c r="A28" s="8"/>
      <c r="B28" s="6"/>
      <c r="C28" s="9"/>
      <c r="D28" s="8"/>
      <c r="E28" s="9"/>
      <c r="F28" s="8"/>
      <c r="H28" s="17"/>
      <c r="I28" s="7"/>
    </row>
    <row r="29" spans="1:9" x14ac:dyDescent="0.3">
      <c r="A29" s="8"/>
      <c r="B29" s="6"/>
      <c r="C29" s="9"/>
      <c r="D29" s="8"/>
      <c r="E29" s="9"/>
      <c r="F29" s="8"/>
      <c r="H29" s="17"/>
      <c r="I29" s="7"/>
    </row>
    <row r="30" spans="1:9" x14ac:dyDescent="0.3">
      <c r="A30" s="8"/>
      <c r="B30" s="6"/>
      <c r="C30" s="9"/>
      <c r="D30" s="8"/>
      <c r="E30" s="9"/>
      <c r="F30" s="8"/>
      <c r="H30" s="17"/>
      <c r="I30" s="7"/>
    </row>
    <row r="31" spans="1:9" x14ac:dyDescent="0.3">
      <c r="A31" s="8"/>
      <c r="B31" s="6"/>
      <c r="C31" s="9"/>
      <c r="D31" s="8"/>
      <c r="E31" s="9"/>
      <c r="F31" s="8"/>
      <c r="H31" s="17"/>
      <c r="I31" s="7"/>
    </row>
    <row r="32" spans="1:9" x14ac:dyDescent="0.3">
      <c r="A32" s="15"/>
      <c r="B32" s="25"/>
      <c r="C32" s="16"/>
      <c r="D32" s="15"/>
      <c r="E32" s="16"/>
      <c r="F32" s="15"/>
      <c r="G32" s="13"/>
      <c r="H32" s="22"/>
      <c r="I32" s="14"/>
    </row>
  </sheetData>
  <mergeCells count="3">
    <mergeCell ref="A2:C2"/>
    <mergeCell ref="D2:E2"/>
    <mergeCell ref="F2:I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V32"/>
  <sheetViews>
    <sheetView zoomScale="70" zoomScaleNormal="70" workbookViewId="0">
      <pane ySplit="3" topLeftCell="A4" activePane="bottomLeft" state="frozen"/>
      <selection pane="bottomLeft"/>
    </sheetView>
  </sheetViews>
  <sheetFormatPr defaultColWidth="9.109375" defaultRowHeight="14.4" x14ac:dyDescent="0.3"/>
  <cols>
    <col min="1" max="1" width="33.88671875" style="5" customWidth="1"/>
    <col min="2" max="3" width="17.88671875" style="5" customWidth="1"/>
    <col min="4" max="9" width="7" style="17" customWidth="1"/>
    <col min="10" max="10" width="9.44140625" style="17" customWidth="1"/>
    <col min="11" max="11" width="10" style="17" customWidth="1"/>
    <col min="12" max="15" width="8.44140625" style="17" customWidth="1"/>
    <col min="16" max="17" width="21.6640625" style="6" customWidth="1"/>
    <col min="18" max="18" width="41" style="6" customWidth="1"/>
    <col min="19" max="19" width="14.109375" style="5" customWidth="1"/>
    <col min="20" max="20" width="22.88671875" style="5" customWidth="1"/>
    <col min="21" max="21" width="14.109375" style="5" customWidth="1"/>
    <col min="22" max="22" width="57" style="5" customWidth="1"/>
    <col min="23" max="16384" width="9.109375" style="5"/>
  </cols>
  <sheetData>
    <row r="1" spans="1:22" ht="45" customHeight="1" x14ac:dyDescent="0.3">
      <c r="D1" s="6"/>
      <c r="E1" s="6"/>
      <c r="F1" s="6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22" x14ac:dyDescent="0.3">
      <c r="A2" s="53" t="s">
        <v>33</v>
      </c>
      <c r="B2" s="54"/>
      <c r="C2" s="55"/>
      <c r="D2" s="61" t="s">
        <v>34</v>
      </c>
      <c r="E2" s="62"/>
      <c r="F2" s="62"/>
      <c r="G2" s="62"/>
      <c r="H2" s="62"/>
      <c r="I2" s="62"/>
      <c r="J2" s="62"/>
      <c r="K2" s="62"/>
      <c r="L2" s="62"/>
      <c r="M2" s="62"/>
      <c r="N2" s="62"/>
      <c r="O2" s="63"/>
      <c r="P2" s="56" t="s">
        <v>36</v>
      </c>
      <c r="Q2" s="57"/>
      <c r="R2" s="58" t="s">
        <v>37</v>
      </c>
      <c r="S2" s="59"/>
      <c r="T2" s="59"/>
      <c r="U2" s="59"/>
      <c r="V2" s="60"/>
    </row>
    <row r="3" spans="1:22" ht="43.2" x14ac:dyDescent="0.3">
      <c r="A3" s="45" t="s">
        <v>0</v>
      </c>
      <c r="B3" s="2" t="s">
        <v>9</v>
      </c>
      <c r="C3" s="46" t="s">
        <v>10</v>
      </c>
      <c r="D3" s="45" t="s">
        <v>1</v>
      </c>
      <c r="E3" s="1" t="s">
        <v>2</v>
      </c>
      <c r="F3" s="1" t="s">
        <v>3</v>
      </c>
      <c r="G3" s="1" t="s">
        <v>4</v>
      </c>
      <c r="H3" s="1" t="s">
        <v>5</v>
      </c>
      <c r="I3" s="1" t="s">
        <v>6</v>
      </c>
      <c r="J3" s="2" t="s">
        <v>27</v>
      </c>
      <c r="K3" s="2" t="s">
        <v>28</v>
      </c>
      <c r="L3" s="2" t="s">
        <v>8</v>
      </c>
      <c r="M3" s="2" t="s">
        <v>16</v>
      </c>
      <c r="N3" s="2" t="s">
        <v>17</v>
      </c>
      <c r="O3" s="46" t="s">
        <v>18</v>
      </c>
      <c r="P3" s="45" t="s">
        <v>7</v>
      </c>
      <c r="Q3" s="46" t="s">
        <v>25</v>
      </c>
      <c r="R3" s="2" t="s">
        <v>29</v>
      </c>
      <c r="S3" s="2" t="s">
        <v>30</v>
      </c>
      <c r="T3" s="2" t="s">
        <v>31</v>
      </c>
      <c r="U3" s="2" t="s">
        <v>42</v>
      </c>
      <c r="V3" s="2" t="s">
        <v>26</v>
      </c>
    </row>
    <row r="4" spans="1:22" ht="72" customHeight="1" x14ac:dyDescent="0.3">
      <c r="A4" s="8" t="s">
        <v>93</v>
      </c>
      <c r="B4" s="6" t="str">
        <f>LEFT(A4,FIND("?",SUBSTITUTE(A4,"\","?",LEN(A4)-LEN(SUBSTITUTE(A4,"\","")))))</f>
        <v>U:\jorrit\vub_panopto_conversies\sem2_batch2\</v>
      </c>
      <c r="C4" s="9" t="str">
        <f>MID(A4,FIND("?",SUBSTITUTE(A4,"\","?",LEN(A4)-LEN(SUBSTITUTE(A4,"\",""))))+1,LEN(A4))</f>
        <v>iv08_part1.mp4</v>
      </c>
      <c r="D4" s="18">
        <v>0</v>
      </c>
      <c r="E4" s="19">
        <v>0</v>
      </c>
      <c r="F4" s="19">
        <v>0</v>
      </c>
      <c r="G4" s="19">
        <v>2</v>
      </c>
      <c r="H4" s="19">
        <v>0</v>
      </c>
      <c r="I4" s="19">
        <v>1</v>
      </c>
      <c r="J4" s="19" t="str">
        <f>TEXT(D4,REPT("0",2))&amp;":"&amp;TEXT(E4,REPT("0",2))&amp;":"&amp;TEXT(F4,REPT("0",2))</f>
        <v>00:00:00</v>
      </c>
      <c r="K4" s="19" t="str">
        <f>TEXT(G4,REPT("0",2))&amp;":"&amp;TEXT(H4,REPT("0",2))&amp;":"&amp;TEXT(I4,REPT("0",2))</f>
        <v>02:00:01</v>
      </c>
      <c r="L4" s="17">
        <f>(G4*3600+H4*60+I4)-(D4*3600+E4*60+F4)</f>
        <v>7201</v>
      </c>
      <c r="M4" s="17">
        <f>ROUNDDOWN(L4/3600,0)</f>
        <v>2</v>
      </c>
      <c r="N4" s="17">
        <f>ROUNDDOWN((L4-M4*3600)/60,0)</f>
        <v>0</v>
      </c>
      <c r="O4" s="23">
        <f>ROUNDDOWN((L4-M4*3600-N4*60),0)</f>
        <v>1</v>
      </c>
      <c r="P4" s="8" t="s">
        <v>97</v>
      </c>
      <c r="Q4" s="9" t="str">
        <f>P4&amp;"\"&amp;C4</f>
        <v>U:\jorrit\vub_panopto_conversies\sem2_batch2\out\iv08_part1.mp4</v>
      </c>
      <c r="R4" s="10" t="str">
        <f t="shared" ref="R4:R7" si="0">"-c:v libx264 -preset "&amp;preset&amp;" -crf "&amp;crf</f>
        <v>-c:v libx264 -preset slow -crf 23</v>
      </c>
      <c r="S4" s="11" t="s">
        <v>32</v>
      </c>
      <c r="T4" s="12" t="str">
        <f>"-ss "&amp;J4&amp;" -to "&amp;K4</f>
        <v>-ss 00:00:00 -to 02:00:01</v>
      </c>
      <c r="U4" s="49" t="s">
        <v>100</v>
      </c>
      <c r="V4" s="9" t="str">
        <f>"-i """&amp;A4&amp;""" "&amp;R4&amp;" "&amp;S4&amp;" "&amp;T4&amp;" -y """&amp;Q4&amp;""""</f>
        <v>-i "U:\jorrit\vub_panopto_conversies\sem2_batch2\iv08_part1.mp4" -c:v libx264 -preset slow -crf 23 -c:a copy -ss 00:00:00 -to 02:00:01 -y "U:\jorrit\vub_panopto_conversies\sem2_batch2\out\iv08_part1.mp4"</v>
      </c>
    </row>
    <row r="5" spans="1:22" ht="43.2" x14ac:dyDescent="0.3">
      <c r="A5" s="8" t="s">
        <v>94</v>
      </c>
      <c r="B5" s="6" t="str">
        <f t="shared" ref="B5:B7" si="1">LEFT(A5,FIND("?",SUBSTITUTE(A5,"\","?",LEN(A5)-LEN(SUBSTITUTE(A5,"\","")))))</f>
        <v>U:\jorrit\vub_panopto_conversies\sem2_batch2\</v>
      </c>
      <c r="C5" s="9" t="str">
        <f t="shared" ref="C5:C7" si="2">MID(A5,FIND("?",SUBSTITUTE(A5,"\","?",LEN(A5)-LEN(SUBSTITUTE(A5,"\",""))))+1,LEN(A5))</f>
        <v>iv08_part2.mp4</v>
      </c>
      <c r="D5" s="18">
        <v>0</v>
      </c>
      <c r="E5" s="19">
        <v>0</v>
      </c>
      <c r="F5" s="19">
        <v>0</v>
      </c>
      <c r="G5" s="19">
        <v>0</v>
      </c>
      <c r="H5" s="19">
        <v>16</v>
      </c>
      <c r="I5" s="19">
        <v>38</v>
      </c>
      <c r="J5" s="19" t="str">
        <f t="shared" ref="J5:J7" si="3">TEXT(D5,REPT("0",2))&amp;":"&amp;TEXT(E5,REPT("0",2))&amp;":"&amp;TEXT(F5,REPT("0",2))</f>
        <v>00:00:00</v>
      </c>
      <c r="K5" s="19" t="str">
        <f>TEXT(G5,REPT("0",2))&amp;":"&amp;TEXT(H5,REPT("0",2))&amp;":"&amp;TEXT(I5,REPT("0",2))</f>
        <v>00:16:38</v>
      </c>
      <c r="L5" s="17">
        <f>(G5*3600+H5*60+I5)-(D5*3600+E5*60+F5)</f>
        <v>998</v>
      </c>
      <c r="M5" s="17">
        <f t="shared" ref="M5:M7" si="4">ROUNDDOWN(L5/3600,0)</f>
        <v>0</v>
      </c>
      <c r="N5" s="17">
        <f t="shared" ref="N5:N7" si="5">ROUNDDOWN((L5-M5*3600)/60,0)</f>
        <v>16</v>
      </c>
      <c r="O5" s="23">
        <f t="shared" ref="O5:O7" si="6">ROUNDDOWN((L5-M5*3600-N5*60),0)</f>
        <v>38</v>
      </c>
      <c r="P5" s="8" t="s">
        <v>97</v>
      </c>
      <c r="Q5" s="9" t="str">
        <f t="shared" ref="Q5:Q7" si="7">P5&amp;"\"&amp;C5</f>
        <v>U:\jorrit\vub_panopto_conversies\sem2_batch2\out\iv08_part2.mp4</v>
      </c>
      <c r="R5" s="10" t="str">
        <f t="shared" si="0"/>
        <v>-c:v libx264 -preset slow -crf 23</v>
      </c>
      <c r="S5" s="11" t="s">
        <v>32</v>
      </c>
      <c r="T5" s="12" t="str">
        <f t="shared" ref="T5:T7" si="8">"-ss "&amp;J5&amp;" -to "&amp;K5</f>
        <v>-ss 00:00:00 -to 00:16:38</v>
      </c>
      <c r="U5" s="49" t="s">
        <v>100</v>
      </c>
      <c r="V5" s="9" t="str">
        <f t="shared" ref="V5:V7" si="9">"-i """&amp;A5&amp;""" "&amp;R5&amp;" "&amp;S5&amp;" "&amp;T5&amp;" -y """&amp;Q5&amp;""""</f>
        <v>-i "U:\jorrit\vub_panopto_conversies\sem2_batch2\iv08_part2.mp4" -c:v libx264 -preset slow -crf 23 -c:a copy -ss 00:00:00 -to 00:16:38 -y "U:\jorrit\vub_panopto_conversies\sem2_batch2\out\iv08_part2.mp4"</v>
      </c>
    </row>
    <row r="6" spans="1:22" ht="43.2" x14ac:dyDescent="0.3">
      <c r="A6" s="8" t="s">
        <v>95</v>
      </c>
      <c r="B6" s="6" t="str">
        <f t="shared" si="1"/>
        <v>U:\jorrit\vub_panopto_conversies\sem2_batch2\</v>
      </c>
      <c r="C6" s="9" t="str">
        <f t="shared" si="2"/>
        <v>iv09.mp4</v>
      </c>
      <c r="D6" s="18">
        <v>0</v>
      </c>
      <c r="E6" s="19">
        <v>0</v>
      </c>
      <c r="F6" s="19">
        <v>0</v>
      </c>
      <c r="G6" s="19">
        <v>1</v>
      </c>
      <c r="H6" s="19">
        <v>44</v>
      </c>
      <c r="I6" s="19">
        <v>25</v>
      </c>
      <c r="J6" s="19" t="str">
        <f t="shared" si="3"/>
        <v>00:00:00</v>
      </c>
      <c r="K6" s="19" t="str">
        <f t="shared" ref="K6:K7" si="10">TEXT(G6,REPT("0",2))&amp;":"&amp;TEXT(H6,REPT("0",2))&amp;":"&amp;TEXT(I6,REPT("0",2))</f>
        <v>01:44:25</v>
      </c>
      <c r="L6" s="17">
        <f t="shared" ref="L6:L7" si="11">(G6*3600+H6*60+I6)-(D6*3600+E6*60+F6)</f>
        <v>6265</v>
      </c>
      <c r="M6" s="17">
        <f t="shared" si="4"/>
        <v>1</v>
      </c>
      <c r="N6" s="17">
        <f t="shared" si="5"/>
        <v>44</v>
      </c>
      <c r="O6" s="23">
        <f t="shared" si="6"/>
        <v>25</v>
      </c>
      <c r="P6" s="8" t="s">
        <v>97</v>
      </c>
      <c r="Q6" s="9" t="str">
        <f t="shared" si="7"/>
        <v>U:\jorrit\vub_panopto_conversies\sem2_batch2\out\iv09.mp4</v>
      </c>
      <c r="R6" s="10" t="str">
        <f t="shared" si="0"/>
        <v>-c:v libx264 -preset slow -crf 23</v>
      </c>
      <c r="S6" s="11" t="s">
        <v>32</v>
      </c>
      <c r="T6" s="12" t="str">
        <f t="shared" si="8"/>
        <v>-ss 00:00:00 -to 01:44:25</v>
      </c>
      <c r="U6" s="49" t="s">
        <v>100</v>
      </c>
      <c r="V6" s="9" t="str">
        <f t="shared" si="9"/>
        <v>-i "U:\jorrit\vub_panopto_conversies\sem2_batch2\iv09.mp4" -c:v libx264 -preset slow -crf 23 -c:a copy -ss 00:00:00 -to 01:44:25 -y "U:\jorrit\vub_panopto_conversies\sem2_batch2\out\iv09.mp4"</v>
      </c>
    </row>
    <row r="7" spans="1:22" ht="43.2" x14ac:dyDescent="0.3">
      <c r="A7" s="8" t="s">
        <v>96</v>
      </c>
      <c r="B7" s="6" t="str">
        <f t="shared" si="1"/>
        <v>U:\jorrit\vub_panopto_conversies\sem2_batch2\</v>
      </c>
      <c r="C7" s="9" t="str">
        <f t="shared" si="2"/>
        <v>iv11.mp4</v>
      </c>
      <c r="D7" s="18">
        <v>0</v>
      </c>
      <c r="E7" s="19">
        <v>0</v>
      </c>
      <c r="F7" s="19">
        <v>0</v>
      </c>
      <c r="G7" s="19">
        <v>1</v>
      </c>
      <c r="H7" s="19">
        <v>52</v>
      </c>
      <c r="I7" s="19">
        <v>2</v>
      </c>
      <c r="J7" s="19" t="str">
        <f t="shared" si="3"/>
        <v>00:00:00</v>
      </c>
      <c r="K7" s="19" t="str">
        <f t="shared" si="10"/>
        <v>01:52:02</v>
      </c>
      <c r="L7" s="17">
        <f t="shared" si="11"/>
        <v>6722</v>
      </c>
      <c r="M7" s="17">
        <f t="shared" si="4"/>
        <v>1</v>
      </c>
      <c r="N7" s="17">
        <f t="shared" si="5"/>
        <v>52</v>
      </c>
      <c r="O7" s="23">
        <f t="shared" si="6"/>
        <v>2</v>
      </c>
      <c r="P7" s="8" t="s">
        <v>97</v>
      </c>
      <c r="Q7" s="9" t="str">
        <f t="shared" si="7"/>
        <v>U:\jorrit\vub_panopto_conversies\sem2_batch2\out\iv11.mp4</v>
      </c>
      <c r="R7" s="10" t="str">
        <f t="shared" si="0"/>
        <v>-c:v libx264 -preset slow -crf 23</v>
      </c>
      <c r="S7" s="11" t="s">
        <v>32</v>
      </c>
      <c r="T7" s="12" t="str">
        <f t="shared" si="8"/>
        <v>-ss 00:00:00 -to 01:52:02</v>
      </c>
      <c r="U7" s="49" t="s">
        <v>100</v>
      </c>
      <c r="V7" s="9" t="str">
        <f t="shared" si="9"/>
        <v>-i "U:\jorrit\vub_panopto_conversies\sem2_batch2\iv11.mp4" -c:v libx264 -preset slow -crf 23 -c:a copy -ss 00:00:00 -to 01:52:02 -y "U:\jorrit\vub_panopto_conversies\sem2_batch2\out\iv11.mp4"</v>
      </c>
    </row>
    <row r="8" spans="1:22" x14ac:dyDescent="0.3">
      <c r="A8" s="8"/>
      <c r="B8" s="6"/>
      <c r="C8" s="9"/>
      <c r="D8" s="18"/>
      <c r="E8" s="19"/>
      <c r="F8" s="19"/>
      <c r="G8" s="19"/>
      <c r="H8" s="19"/>
      <c r="I8" s="19"/>
      <c r="J8" s="19"/>
      <c r="K8" s="19"/>
      <c r="O8" s="23"/>
      <c r="P8" s="8"/>
      <c r="Q8" s="9"/>
      <c r="R8" s="10"/>
      <c r="S8" s="11"/>
      <c r="T8" s="12"/>
      <c r="U8" s="49"/>
      <c r="V8" s="9"/>
    </row>
    <row r="9" spans="1:22" x14ac:dyDescent="0.3">
      <c r="A9" s="8"/>
      <c r="B9" s="6"/>
      <c r="C9" s="9"/>
      <c r="D9" s="18"/>
      <c r="E9" s="19"/>
      <c r="F9" s="19"/>
      <c r="G9" s="19"/>
      <c r="H9" s="19"/>
      <c r="I9" s="19"/>
      <c r="J9" s="19"/>
      <c r="K9" s="19"/>
      <c r="O9" s="23"/>
      <c r="P9" s="8"/>
      <c r="Q9" s="9"/>
      <c r="R9" s="10"/>
      <c r="S9" s="11"/>
      <c r="T9" s="12"/>
      <c r="U9" s="49"/>
      <c r="V9" s="9"/>
    </row>
    <row r="10" spans="1:22" x14ac:dyDescent="0.3">
      <c r="A10" s="8"/>
      <c r="B10" s="6"/>
      <c r="C10" s="9"/>
      <c r="D10" s="18"/>
      <c r="E10" s="19"/>
      <c r="F10" s="19"/>
      <c r="G10" s="19"/>
      <c r="H10" s="19"/>
      <c r="I10" s="19"/>
      <c r="J10" s="19"/>
      <c r="K10" s="19"/>
      <c r="O10" s="23"/>
      <c r="P10" s="8"/>
      <c r="Q10" s="9"/>
      <c r="R10" s="10"/>
      <c r="S10" s="11"/>
      <c r="T10" s="12"/>
      <c r="U10" s="49"/>
      <c r="V10" s="9"/>
    </row>
    <row r="11" spans="1:22" x14ac:dyDescent="0.3">
      <c r="A11" s="8"/>
      <c r="B11" s="6"/>
      <c r="C11" s="9"/>
      <c r="D11" s="18"/>
      <c r="E11" s="19"/>
      <c r="F11" s="19"/>
      <c r="G11" s="19"/>
      <c r="H11" s="19"/>
      <c r="I11" s="19"/>
      <c r="J11" s="19"/>
      <c r="K11" s="19"/>
      <c r="O11" s="23"/>
      <c r="P11" s="8"/>
      <c r="Q11" s="9"/>
      <c r="R11" s="10"/>
      <c r="S11" s="11"/>
      <c r="T11" s="12"/>
      <c r="U11" s="49"/>
      <c r="V11" s="9"/>
    </row>
    <row r="12" spans="1:22" x14ac:dyDescent="0.3">
      <c r="A12" s="8"/>
      <c r="B12" s="6"/>
      <c r="C12" s="9"/>
      <c r="D12" s="20"/>
      <c r="O12" s="23"/>
      <c r="P12" s="8"/>
      <c r="Q12" s="9"/>
      <c r="R12" s="8"/>
      <c r="U12" s="17"/>
      <c r="V12" s="7"/>
    </row>
    <row r="13" spans="1:22" x14ac:dyDescent="0.3">
      <c r="A13" s="8"/>
      <c r="B13" s="6"/>
      <c r="C13" s="9"/>
      <c r="D13" s="20"/>
      <c r="O13" s="23"/>
      <c r="P13" s="8"/>
      <c r="Q13" s="9"/>
      <c r="R13" s="8"/>
      <c r="U13" s="17"/>
      <c r="V13" s="7"/>
    </row>
    <row r="14" spans="1:22" x14ac:dyDescent="0.3">
      <c r="A14" s="8"/>
      <c r="B14" s="6"/>
      <c r="C14" s="9"/>
      <c r="D14" s="20"/>
      <c r="O14" s="23"/>
      <c r="P14" s="8"/>
      <c r="Q14" s="9"/>
      <c r="R14" s="8"/>
      <c r="U14" s="17"/>
      <c r="V14" s="7"/>
    </row>
    <row r="15" spans="1:22" x14ac:dyDescent="0.3">
      <c r="A15" s="8"/>
      <c r="B15" s="6"/>
      <c r="C15" s="9"/>
      <c r="D15" s="20"/>
      <c r="O15" s="23"/>
      <c r="P15" s="8"/>
      <c r="Q15" s="9"/>
      <c r="R15" s="8"/>
      <c r="U15" s="17"/>
      <c r="V15" s="7"/>
    </row>
    <row r="16" spans="1:22" x14ac:dyDescent="0.3">
      <c r="A16" s="8"/>
      <c r="B16" s="6"/>
      <c r="C16" s="9"/>
      <c r="D16" s="20"/>
      <c r="O16" s="23"/>
      <c r="P16" s="8"/>
      <c r="Q16" s="9"/>
      <c r="R16" s="8"/>
      <c r="U16" s="17"/>
      <c r="V16" s="7"/>
    </row>
    <row r="17" spans="1:22" x14ac:dyDescent="0.3">
      <c r="A17" s="8"/>
      <c r="B17" s="6"/>
      <c r="C17" s="9"/>
      <c r="D17" s="20"/>
      <c r="G17" s="19"/>
      <c r="H17" s="19"/>
      <c r="I17" s="19"/>
      <c r="O17" s="23"/>
      <c r="P17" s="8"/>
      <c r="Q17" s="9"/>
      <c r="R17" s="8"/>
      <c r="U17" s="17"/>
      <c r="V17" s="7"/>
    </row>
    <row r="18" spans="1:22" x14ac:dyDescent="0.3">
      <c r="A18" s="8"/>
      <c r="B18" s="6"/>
      <c r="C18" s="9"/>
      <c r="D18" s="20"/>
      <c r="G18" s="19"/>
      <c r="H18" s="19"/>
      <c r="I18" s="19"/>
      <c r="O18" s="23"/>
      <c r="P18" s="8"/>
      <c r="Q18" s="9"/>
      <c r="R18" s="8"/>
      <c r="U18" s="17"/>
      <c r="V18" s="7"/>
    </row>
    <row r="19" spans="1:22" x14ac:dyDescent="0.3">
      <c r="A19" s="8"/>
      <c r="B19" s="6"/>
      <c r="C19" s="9"/>
      <c r="D19" s="20"/>
      <c r="O19" s="23"/>
      <c r="P19" s="8"/>
      <c r="Q19" s="9"/>
      <c r="R19" s="8"/>
      <c r="U19" s="17"/>
      <c r="V19" s="7"/>
    </row>
    <row r="20" spans="1:22" x14ac:dyDescent="0.3">
      <c r="A20" s="8"/>
      <c r="B20" s="6"/>
      <c r="C20" s="9"/>
      <c r="D20" s="20"/>
      <c r="O20" s="23"/>
      <c r="P20" s="8"/>
      <c r="Q20" s="9"/>
      <c r="R20" s="8"/>
      <c r="U20" s="17"/>
      <c r="V20" s="7"/>
    </row>
    <row r="21" spans="1:22" x14ac:dyDescent="0.3">
      <c r="A21" s="8"/>
      <c r="B21" s="6"/>
      <c r="C21" s="9"/>
      <c r="D21" s="20"/>
      <c r="O21" s="23"/>
      <c r="P21" s="8"/>
      <c r="Q21" s="9"/>
      <c r="R21" s="8"/>
      <c r="U21" s="17"/>
      <c r="V21" s="7"/>
    </row>
    <row r="22" spans="1:22" x14ac:dyDescent="0.3">
      <c r="A22" s="8"/>
      <c r="B22" s="6"/>
      <c r="C22" s="9"/>
      <c r="D22" s="20"/>
      <c r="O22" s="23"/>
      <c r="P22" s="8"/>
      <c r="Q22" s="9"/>
      <c r="R22" s="8"/>
      <c r="U22" s="17"/>
      <c r="V22" s="7"/>
    </row>
    <row r="23" spans="1:22" x14ac:dyDescent="0.3">
      <c r="A23" s="8"/>
      <c r="B23" s="6"/>
      <c r="C23" s="9"/>
      <c r="D23" s="20"/>
      <c r="O23" s="23"/>
      <c r="P23" s="8"/>
      <c r="Q23" s="9"/>
      <c r="R23" s="8"/>
      <c r="U23" s="17"/>
      <c r="V23" s="7"/>
    </row>
    <row r="24" spans="1:22" x14ac:dyDescent="0.3">
      <c r="A24" s="8"/>
      <c r="B24" s="6"/>
      <c r="C24" s="9"/>
      <c r="D24" s="20"/>
      <c r="O24" s="23"/>
      <c r="P24" s="8"/>
      <c r="Q24" s="9"/>
      <c r="R24" s="8"/>
      <c r="U24" s="17"/>
      <c r="V24" s="7"/>
    </row>
    <row r="25" spans="1:22" x14ac:dyDescent="0.3">
      <c r="A25" s="8"/>
      <c r="B25" s="6"/>
      <c r="C25" s="9"/>
      <c r="D25" s="20"/>
      <c r="O25" s="23"/>
      <c r="P25" s="8"/>
      <c r="Q25" s="9"/>
      <c r="R25" s="8"/>
      <c r="U25" s="17"/>
      <c r="V25" s="7"/>
    </row>
    <row r="26" spans="1:22" x14ac:dyDescent="0.3">
      <c r="A26" s="8"/>
      <c r="B26" s="6"/>
      <c r="C26" s="9"/>
      <c r="D26" s="20"/>
      <c r="O26" s="23"/>
      <c r="P26" s="8"/>
      <c r="Q26" s="9"/>
      <c r="R26" s="8"/>
      <c r="U26" s="17"/>
      <c r="V26" s="7"/>
    </row>
    <row r="27" spans="1:22" x14ac:dyDescent="0.3">
      <c r="A27" s="8"/>
      <c r="B27" s="6"/>
      <c r="C27" s="9"/>
      <c r="D27" s="20"/>
      <c r="O27" s="23"/>
      <c r="P27" s="8"/>
      <c r="Q27" s="9"/>
      <c r="R27" s="8"/>
      <c r="U27" s="17"/>
      <c r="V27" s="7"/>
    </row>
    <row r="28" spans="1:22" x14ac:dyDescent="0.3">
      <c r="A28" s="8"/>
      <c r="B28" s="6"/>
      <c r="C28" s="9"/>
      <c r="D28" s="20"/>
      <c r="O28" s="23"/>
      <c r="P28" s="8"/>
      <c r="Q28" s="9"/>
      <c r="R28" s="8"/>
      <c r="U28" s="17"/>
      <c r="V28" s="7"/>
    </row>
    <row r="29" spans="1:22" x14ac:dyDescent="0.3">
      <c r="A29" s="8"/>
      <c r="B29" s="6"/>
      <c r="C29" s="9"/>
      <c r="D29" s="20"/>
      <c r="O29" s="23"/>
      <c r="P29" s="8"/>
      <c r="Q29" s="9"/>
      <c r="R29" s="8"/>
      <c r="U29" s="17"/>
      <c r="V29" s="7"/>
    </row>
    <row r="30" spans="1:22" x14ac:dyDescent="0.3">
      <c r="A30" s="8"/>
      <c r="B30" s="6"/>
      <c r="C30" s="9"/>
      <c r="D30" s="20"/>
      <c r="O30" s="23"/>
      <c r="P30" s="8"/>
      <c r="Q30" s="9"/>
      <c r="R30" s="8"/>
      <c r="U30" s="17"/>
      <c r="V30" s="7"/>
    </row>
    <row r="31" spans="1:22" x14ac:dyDescent="0.3">
      <c r="A31" s="8"/>
      <c r="B31" s="6"/>
      <c r="C31" s="9"/>
      <c r="D31" s="20"/>
      <c r="O31" s="23"/>
      <c r="P31" s="8"/>
      <c r="Q31" s="9"/>
      <c r="R31" s="8"/>
      <c r="U31" s="17"/>
      <c r="V31" s="7"/>
    </row>
    <row r="32" spans="1:22" x14ac:dyDescent="0.3">
      <c r="A32" s="15"/>
      <c r="B32" s="25"/>
      <c r="C32" s="16"/>
      <c r="D32" s="21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4"/>
      <c r="P32" s="15"/>
      <c r="Q32" s="16"/>
      <c r="R32" s="15"/>
      <c r="S32" s="13"/>
      <c r="T32" s="13"/>
      <c r="U32" s="22"/>
      <c r="V32" s="14"/>
    </row>
  </sheetData>
  <mergeCells count="4">
    <mergeCell ref="A2:C2"/>
    <mergeCell ref="D2:O2"/>
    <mergeCell ref="P2:Q2"/>
    <mergeCell ref="R2:V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AB32"/>
  <sheetViews>
    <sheetView topLeftCell="K1" zoomScale="70" zoomScaleNormal="70" workbookViewId="0">
      <pane ySplit="3" topLeftCell="A4" activePane="bottomLeft" state="frozen"/>
      <selection pane="bottomLeft"/>
    </sheetView>
  </sheetViews>
  <sheetFormatPr defaultColWidth="9.109375" defaultRowHeight="14.4" x14ac:dyDescent="0.3"/>
  <cols>
    <col min="1" max="1" width="33.88671875" style="5" customWidth="1"/>
    <col min="2" max="2" width="37" style="5" customWidth="1"/>
    <col min="3" max="3" width="17.88671875" style="5" customWidth="1"/>
    <col min="4" max="9" width="7" style="17" customWidth="1"/>
    <col min="10" max="10" width="9.44140625" style="17" customWidth="1"/>
    <col min="11" max="11" width="10" style="17" customWidth="1"/>
    <col min="12" max="15" width="8.44140625" style="17" customWidth="1"/>
    <col min="16" max="19" width="7.5546875" style="17" customWidth="1"/>
    <col min="20" max="21" width="9.109375" style="17"/>
    <col min="22" max="23" width="21.77734375" style="6" customWidth="1"/>
    <col min="24" max="24" width="41" style="6" customWidth="1"/>
    <col min="25" max="25" width="14.109375" style="5" customWidth="1"/>
    <col min="26" max="26" width="22.88671875" style="5" customWidth="1"/>
    <col min="27" max="27" width="14.109375" style="5" customWidth="1"/>
    <col min="28" max="28" width="57" style="5" customWidth="1"/>
    <col min="29" max="16384" width="9.109375" style="5"/>
  </cols>
  <sheetData>
    <row r="1" spans="1:28" ht="45" customHeight="1" x14ac:dyDescent="0.3">
      <c r="D1" s="6"/>
      <c r="E1" s="6"/>
      <c r="F1" s="6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8" s="27" customFormat="1" x14ac:dyDescent="0.3">
      <c r="A2" s="64" t="s">
        <v>33</v>
      </c>
      <c r="B2" s="65"/>
      <c r="C2" s="66"/>
      <c r="D2" s="67" t="s">
        <v>34</v>
      </c>
      <c r="E2" s="68"/>
      <c r="F2" s="68"/>
      <c r="G2" s="68"/>
      <c r="H2" s="68"/>
      <c r="I2" s="68"/>
      <c r="J2" s="68"/>
      <c r="K2" s="68"/>
      <c r="L2" s="68"/>
      <c r="M2" s="68"/>
      <c r="N2" s="68"/>
      <c r="O2" s="69"/>
      <c r="P2" s="70" t="s">
        <v>35</v>
      </c>
      <c r="Q2" s="71"/>
      <c r="R2" s="71"/>
      <c r="S2" s="71"/>
      <c r="T2" s="71"/>
      <c r="U2" s="72"/>
      <c r="V2" s="73" t="s">
        <v>36</v>
      </c>
      <c r="W2" s="74"/>
      <c r="X2" s="75" t="s">
        <v>37</v>
      </c>
      <c r="Y2" s="76"/>
      <c r="Z2" s="76"/>
      <c r="AA2" s="76"/>
      <c r="AB2" s="77"/>
    </row>
    <row r="3" spans="1:28" s="27" customFormat="1" ht="43.2" x14ac:dyDescent="0.3">
      <c r="A3" s="28" t="s">
        <v>0</v>
      </c>
      <c r="B3" s="29" t="s">
        <v>9</v>
      </c>
      <c r="C3" s="30" t="s">
        <v>10</v>
      </c>
      <c r="D3" s="28" t="s">
        <v>1</v>
      </c>
      <c r="E3" s="31" t="s">
        <v>2</v>
      </c>
      <c r="F3" s="31" t="s">
        <v>3</v>
      </c>
      <c r="G3" s="31" t="s">
        <v>4</v>
      </c>
      <c r="H3" s="31" t="s">
        <v>5</v>
      </c>
      <c r="I3" s="31" t="s">
        <v>6</v>
      </c>
      <c r="J3" s="29" t="s">
        <v>27</v>
      </c>
      <c r="K3" s="29" t="s">
        <v>28</v>
      </c>
      <c r="L3" s="29" t="s">
        <v>8</v>
      </c>
      <c r="M3" s="29" t="s">
        <v>16</v>
      </c>
      <c r="N3" s="29" t="s">
        <v>17</v>
      </c>
      <c r="O3" s="30" t="s">
        <v>18</v>
      </c>
      <c r="P3" s="28" t="s">
        <v>19</v>
      </c>
      <c r="Q3" s="31" t="s">
        <v>20</v>
      </c>
      <c r="R3" s="31" t="s">
        <v>21</v>
      </c>
      <c r="S3" s="31" t="s">
        <v>22</v>
      </c>
      <c r="T3" s="29" t="s">
        <v>24</v>
      </c>
      <c r="U3" s="30" t="s">
        <v>23</v>
      </c>
      <c r="V3" s="28" t="s">
        <v>7</v>
      </c>
      <c r="W3" s="30" t="s">
        <v>25</v>
      </c>
      <c r="X3" s="29" t="s">
        <v>29</v>
      </c>
      <c r="Y3" s="29" t="s">
        <v>30</v>
      </c>
      <c r="Z3" s="29" t="s">
        <v>31</v>
      </c>
      <c r="AA3" s="29" t="s">
        <v>42</v>
      </c>
      <c r="AB3" s="29" t="s">
        <v>26</v>
      </c>
    </row>
    <row r="4" spans="1:28" ht="57.6" x14ac:dyDescent="0.3">
      <c r="A4" s="8" t="s">
        <v>11</v>
      </c>
      <c r="B4" s="6" t="str">
        <f>LEFT(A4,FIND("?",SUBSTITUTE(A4,"\","?",LEN(A4)-LEN(SUBSTITUTE(A4,"\","")))))</f>
        <v>U:\jorrit\vub_obs\captured\</v>
      </c>
      <c r="C4" s="9" t="str">
        <f>MID(A4,FIND("?",SUBSTITUTE(A4,"\","?",LEN(A4)-LEN(SUBSTITUTE(A4,"\",""))))+1,LEN(A4))</f>
        <v>01-KC1EN.mkv</v>
      </c>
      <c r="D4" s="18">
        <v>0</v>
      </c>
      <c r="E4" s="19">
        <v>0</v>
      </c>
      <c r="F4" s="19">
        <v>3</v>
      </c>
      <c r="G4" s="19">
        <v>0</v>
      </c>
      <c r="H4" s="19">
        <v>15</v>
      </c>
      <c r="I4" s="19">
        <v>4</v>
      </c>
      <c r="J4" s="19" t="str">
        <f>TEXT(D4,REPT("0",2))&amp;":"&amp;TEXT(E4,REPT("0",2))&amp;":"&amp;TEXT(F4,REPT("0",2))</f>
        <v>00:00:03</v>
      </c>
      <c r="K4" s="19" t="str">
        <f t="shared" ref="K4:K7" si="0">TEXT(G4,REPT("0",2))&amp;":"&amp;TEXT(H4,REPT("0",2))&amp;":"&amp;TEXT(I4,REPT("0",2))</f>
        <v>00:15:04</v>
      </c>
      <c r="L4" s="17">
        <f>(G4*3600+H4*60+I4)-(D4*3600+E4*60+F4)</f>
        <v>901</v>
      </c>
      <c r="M4" s="17">
        <f>ROUNDDOWN(L4/3600,0)</f>
        <v>0</v>
      </c>
      <c r="N4" s="17">
        <f>ROUNDDOWN((L4-M4*3600)/60,0)</f>
        <v>15</v>
      </c>
      <c r="O4" s="23">
        <f>ROUNDDOWN((L4-M4*3600-N4*60),0)</f>
        <v>1</v>
      </c>
      <c r="P4" s="20">
        <v>288</v>
      </c>
      <c r="Q4" s="17">
        <v>1016</v>
      </c>
      <c r="R4" s="17">
        <v>1630</v>
      </c>
      <c r="S4" s="17">
        <v>2878</v>
      </c>
      <c r="T4" s="17">
        <f t="shared" ref="T4:U7" si="1">R4-P4</f>
        <v>1342</v>
      </c>
      <c r="U4" s="23">
        <f t="shared" si="1"/>
        <v>1862</v>
      </c>
      <c r="V4" s="8" t="s">
        <v>15</v>
      </c>
      <c r="W4" s="9" t="str">
        <f>V4&amp;"\"&amp;C4</f>
        <v>U:\jorrit\vub_obs\captured and converted\01-KC1EN.mkv</v>
      </c>
      <c r="X4" s="10" t="str">
        <f>"-c:v libx264 -preset "&amp;preset&amp;" -crf "&amp;crf&amp;" -filter:v crop="&amp;U4&amp;":"&amp;T4&amp;":"&amp;Q4&amp;":"&amp;P4&amp;",scale=1600:-2"</f>
        <v>-c:v libx264 -preset slow -crf 23 -filter:v crop=1862:1342:1016:288,scale=1600:-2</v>
      </c>
      <c r="Y4" s="11" t="s">
        <v>32</v>
      </c>
      <c r="Z4" s="12" t="str">
        <f>"-ss "&amp;J4&amp;" -to "&amp;K4</f>
        <v>-ss 00:00:03 -to 00:15:04</v>
      </c>
      <c r="AA4" s="49"/>
      <c r="AB4" s="9" t="str">
        <f>"-i """&amp;A4&amp;""" "&amp;X4&amp;" "&amp;Y4&amp;" "&amp;Z4&amp;" -y """&amp;W4&amp;""""</f>
        <v>-i "U:\jorrit\vub_obs\captured\01-KC1EN.mkv" -c:v libx264 -preset slow -crf 23 -filter:v crop=1862:1342:1016:288,scale=1600:-2 -c:a copy -ss 00:00:03 -to 00:15:04 -y "U:\jorrit\vub_obs\captured and converted\01-KC1EN.mkv"</v>
      </c>
    </row>
    <row r="5" spans="1:28" ht="86.4" x14ac:dyDescent="0.3">
      <c r="A5" s="8" t="s">
        <v>12</v>
      </c>
      <c r="B5" s="6" t="str">
        <f>LEFT(A5,FIND("?",SUBSTITUTE(A5,"\","?",LEN(A5)-LEN(SUBSTITUTE(A5,"\","")))))</f>
        <v>U:\jorrit\vub_obs\captured\</v>
      </c>
      <c r="C5" s="9" t="str">
        <f>MID(A5,FIND("?",SUBSTITUTE(A5,"\","?",LEN(A5)-LEN(SUBSTITUTE(A5,"\",""))))+1,LEN(A5))</f>
        <v>02-Databases lecture 1.mkv</v>
      </c>
      <c r="D5" s="18">
        <v>0</v>
      </c>
      <c r="E5" s="19">
        <v>0</v>
      </c>
      <c r="F5" s="19">
        <v>2</v>
      </c>
      <c r="G5" s="19">
        <v>0</v>
      </c>
      <c r="H5" s="19">
        <v>53</v>
      </c>
      <c r="I5" s="19">
        <v>27</v>
      </c>
      <c r="J5" s="19" t="str">
        <f t="shared" ref="J5:J7" si="2">TEXT(D5,REPT("0",2))&amp;":"&amp;TEXT(E5,REPT("0",2))&amp;":"&amp;TEXT(F5,REPT("0",2))</f>
        <v>00:00:02</v>
      </c>
      <c r="K5" s="19" t="str">
        <f t="shared" si="0"/>
        <v>00:53:27</v>
      </c>
      <c r="L5" s="17">
        <f>(G5*3600+H5*60+I5)-(D5*3600+E5*60+F5)</f>
        <v>3205</v>
      </c>
      <c r="M5" s="17">
        <f t="shared" ref="M5:M7" si="3">ROUNDDOWN(L5/3600,0)</f>
        <v>0</v>
      </c>
      <c r="N5" s="17">
        <f t="shared" ref="N5:N7" si="4">ROUNDDOWN((L5-M5*3600)/60,0)</f>
        <v>53</v>
      </c>
      <c r="O5" s="23">
        <f t="shared" ref="O5:O7" si="5">ROUNDDOWN((L5-M5*3600-N5*60),0)</f>
        <v>25</v>
      </c>
      <c r="P5" s="20">
        <v>288</v>
      </c>
      <c r="Q5" s="17">
        <v>1016</v>
      </c>
      <c r="R5" s="17">
        <v>1630</v>
      </c>
      <c r="S5" s="17">
        <v>2878</v>
      </c>
      <c r="T5" s="17">
        <f t="shared" si="1"/>
        <v>1342</v>
      </c>
      <c r="U5" s="23">
        <f t="shared" si="1"/>
        <v>1862</v>
      </c>
      <c r="V5" s="8" t="s">
        <v>15</v>
      </c>
      <c r="W5" s="9" t="str">
        <f>V5&amp;"\"&amp;C5</f>
        <v>U:\jorrit\vub_obs\captured and converted\02-Databases lecture 1.mkv</v>
      </c>
      <c r="X5" s="10" t="str">
        <f>"-c:v libx264 -preset "&amp;preset&amp;" -crf "&amp;crf&amp;" -filter:v crop="&amp;U5&amp;":"&amp;T5&amp;":"&amp;Q5&amp;":"&amp;P5&amp;",scale=1600:-2"</f>
        <v>-c:v libx264 -preset slow -crf 23 -filter:v crop=1862:1342:1016:288,scale=1600:-2</v>
      </c>
      <c r="Y5" s="11" t="s">
        <v>32</v>
      </c>
      <c r="Z5" s="12" t="str">
        <f t="shared" ref="Z5:Z7" si="6">"-ss "&amp;J5&amp;" -to "&amp;K5</f>
        <v>-ss 00:00:02 -to 00:53:27</v>
      </c>
      <c r="AA5" s="49"/>
      <c r="AB5" s="9" t="str">
        <f>general_config!$B$3&amp;" -i """&amp;A5&amp;""" "&amp;X5&amp;" "&amp;Y5&amp;" "&amp;Z5&amp;" -y """&amp;W5&amp;""""</f>
        <v>C:\Program Files\ffmpeg\5.1\bin\ffmpeg.exe -i "U:\jorrit\vub_obs\captured\02-Databases lecture 1.mkv" -c:v libx264 -preset slow -crf 23 -filter:v crop=1862:1342:1016:288,scale=1600:-2 -c:a copy -ss 00:00:02 -to 00:53:27 -y "U:\jorrit\vub_obs\captured and converted\02-Databases lecture 1.mkv"</v>
      </c>
    </row>
    <row r="6" spans="1:28" ht="86.4" x14ac:dyDescent="0.3">
      <c r="A6" s="8" t="s">
        <v>13</v>
      </c>
      <c r="B6" s="6" t="str">
        <f>LEFT(A6,FIND("?",SUBSTITUTE(A6,"\","?",LEN(A6)-LEN(SUBSTITUTE(A6,"\","")))))</f>
        <v>U:\jorrit\vub_obs\captured\</v>
      </c>
      <c r="C6" s="9" t="str">
        <f>MID(A6,FIND("?",SUBSTITUTE(A6,"\","?",LEN(A6)-LEN(SUBSTITUTE(A6,"\",""))))+1,LEN(A6))</f>
        <v>03-Databases lecture 2.mkv</v>
      </c>
      <c r="D6" s="18">
        <v>0</v>
      </c>
      <c r="E6" s="19">
        <v>0</v>
      </c>
      <c r="F6" s="19">
        <v>3</v>
      </c>
      <c r="G6" s="19">
        <v>1</v>
      </c>
      <c r="H6" s="19">
        <v>8</v>
      </c>
      <c r="I6" s="19">
        <v>46</v>
      </c>
      <c r="J6" s="19" t="str">
        <f t="shared" si="2"/>
        <v>00:00:03</v>
      </c>
      <c r="K6" s="19" t="str">
        <f t="shared" si="0"/>
        <v>01:08:46</v>
      </c>
      <c r="L6" s="17">
        <f>(G6*3600+H6*60+I6)-(D6*3600+E6*60+F6)</f>
        <v>4123</v>
      </c>
      <c r="M6" s="17">
        <f t="shared" si="3"/>
        <v>1</v>
      </c>
      <c r="N6" s="17">
        <f t="shared" si="4"/>
        <v>8</v>
      </c>
      <c r="O6" s="23">
        <f t="shared" si="5"/>
        <v>43</v>
      </c>
      <c r="P6" s="20">
        <v>288</v>
      </c>
      <c r="Q6" s="17">
        <v>1016</v>
      </c>
      <c r="R6" s="17">
        <v>1630</v>
      </c>
      <c r="S6" s="17">
        <v>2878</v>
      </c>
      <c r="T6" s="17">
        <f t="shared" si="1"/>
        <v>1342</v>
      </c>
      <c r="U6" s="23">
        <f t="shared" si="1"/>
        <v>1862</v>
      </c>
      <c r="V6" s="8" t="s">
        <v>15</v>
      </c>
      <c r="W6" s="9" t="str">
        <f>V6&amp;"\"&amp;C6</f>
        <v>U:\jorrit\vub_obs\captured and converted\03-Databases lecture 2.mkv</v>
      </c>
      <c r="X6" s="10" t="str">
        <f>"-c:v libx264 -preset "&amp;preset&amp;" -crf "&amp;crf&amp;" -filter:v crop="&amp;U6&amp;":"&amp;T6&amp;":"&amp;Q6&amp;":"&amp;P6&amp;",scale=1600:-2"</f>
        <v>-c:v libx264 -preset slow -crf 23 -filter:v crop=1862:1342:1016:288,scale=1600:-2</v>
      </c>
      <c r="Y6" s="11" t="s">
        <v>32</v>
      </c>
      <c r="Z6" s="12" t="str">
        <f t="shared" si="6"/>
        <v>-ss 00:00:03 -to 01:08:46</v>
      </c>
      <c r="AA6" s="49"/>
      <c r="AB6" s="9" t="str">
        <f>general_config!$B$3&amp;" -i """&amp;A6&amp;""" "&amp;X6&amp;" "&amp;Y6&amp;" "&amp;Z6&amp;" -y """&amp;W6&amp;""""</f>
        <v>C:\Program Files\ffmpeg\5.1\bin\ffmpeg.exe -i "U:\jorrit\vub_obs\captured\03-Databases lecture 2.mkv" -c:v libx264 -preset slow -crf 23 -filter:v crop=1862:1342:1016:288,scale=1600:-2 -c:a copy -ss 00:00:03 -to 01:08:46 -y "U:\jorrit\vub_obs\captured and converted\03-Databases lecture 2.mkv"</v>
      </c>
    </row>
    <row r="7" spans="1:28" ht="86.4" x14ac:dyDescent="0.3">
      <c r="A7" s="8" t="s">
        <v>14</v>
      </c>
      <c r="B7" s="6" t="str">
        <f>LEFT(A7,FIND("?",SUBSTITUTE(A7,"\","?",LEN(A7)-LEN(SUBSTITUTE(A7,"\","")))))</f>
        <v>U:\jorrit\vub_obs\captured\</v>
      </c>
      <c r="C7" s="9" t="str">
        <f>MID(A7,FIND("?",SUBSTITUTE(A7,"\","?",LEN(A7)-LEN(SUBSTITUTE(A7,"\",""))))+1,LEN(A7))</f>
        <v>04-Databanken 3 Reduction and Normalisation (NL).mkv</v>
      </c>
      <c r="D7" s="18">
        <v>0</v>
      </c>
      <c r="E7" s="19">
        <v>0</v>
      </c>
      <c r="F7" s="19">
        <v>2</v>
      </c>
      <c r="G7" s="19">
        <v>1</v>
      </c>
      <c r="H7" s="19">
        <v>33</v>
      </c>
      <c r="I7" s="19">
        <v>49</v>
      </c>
      <c r="J7" s="19" t="str">
        <f t="shared" si="2"/>
        <v>00:00:02</v>
      </c>
      <c r="K7" s="19" t="str">
        <f t="shared" si="0"/>
        <v>01:33:49</v>
      </c>
      <c r="L7" s="17">
        <f>(G7*3600+H7*60+I7)-(D7*3600+E7*60+F7)</f>
        <v>5627</v>
      </c>
      <c r="M7" s="17">
        <f t="shared" si="3"/>
        <v>1</v>
      </c>
      <c r="N7" s="17">
        <f t="shared" si="4"/>
        <v>33</v>
      </c>
      <c r="O7" s="23">
        <f t="shared" si="5"/>
        <v>47</v>
      </c>
      <c r="P7" s="20">
        <v>288</v>
      </c>
      <c r="Q7" s="17">
        <v>1016</v>
      </c>
      <c r="R7" s="17">
        <v>1630</v>
      </c>
      <c r="S7" s="17">
        <v>2878</v>
      </c>
      <c r="T7" s="17">
        <f t="shared" si="1"/>
        <v>1342</v>
      </c>
      <c r="U7" s="23">
        <f t="shared" si="1"/>
        <v>1862</v>
      </c>
      <c r="V7" s="8" t="s">
        <v>15</v>
      </c>
      <c r="W7" s="9" t="str">
        <f>V7&amp;"\"&amp;C7</f>
        <v>U:\jorrit\vub_obs\captured and converted\04-Databanken 3 Reduction and Normalisation (NL).mkv</v>
      </c>
      <c r="X7" s="10" t="str">
        <f>"-c:v libx264 -preset "&amp;preset&amp;" -crf "&amp;crf&amp;" -filter:v crop="&amp;U7&amp;":"&amp;T7&amp;":"&amp;Q7&amp;":"&amp;P7&amp;",scale=1600:-2"</f>
        <v>-c:v libx264 -preset slow -crf 23 -filter:v crop=1862:1342:1016:288,scale=1600:-2</v>
      </c>
      <c r="Y7" s="11" t="s">
        <v>32</v>
      </c>
      <c r="Z7" s="12" t="str">
        <f t="shared" si="6"/>
        <v>-ss 00:00:02 -to 01:33:49</v>
      </c>
      <c r="AA7" s="49"/>
      <c r="AB7" s="9" t="str">
        <f>general_config!$B$3&amp;" -i """&amp;A7&amp;""" "&amp;X7&amp;" "&amp;Y7&amp;" "&amp;Z7&amp;" -y """&amp;W7&amp;""""</f>
        <v>C:\Program Files\ffmpeg\5.1\bin\ffmpeg.exe -i "U:\jorrit\vub_obs\captured\04-Databanken 3 Reduction and Normalisation (NL).mkv" -c:v libx264 -preset slow -crf 23 -filter:v crop=1862:1342:1016:288,scale=1600:-2 -c:a copy -ss 00:00:02 -to 01:33:49 -y "U:\jorrit\vub_obs\captured and converted\04-Databanken 3 Reduction and Normalisation (NL).mkv"</v>
      </c>
    </row>
    <row r="8" spans="1:28" x14ac:dyDescent="0.3">
      <c r="A8" s="8"/>
      <c r="B8" s="6"/>
      <c r="C8" s="9"/>
      <c r="D8" s="20"/>
      <c r="O8" s="23"/>
      <c r="P8" s="20"/>
      <c r="U8" s="23"/>
      <c r="V8" s="8"/>
      <c r="W8" s="9"/>
      <c r="X8" s="8"/>
      <c r="AA8" s="17"/>
      <c r="AB8" s="7"/>
    </row>
    <row r="9" spans="1:28" x14ac:dyDescent="0.3">
      <c r="A9" s="8"/>
      <c r="B9" s="6"/>
      <c r="C9" s="9"/>
      <c r="D9" s="20"/>
      <c r="O9" s="23"/>
      <c r="P9" s="20"/>
      <c r="U9" s="23"/>
      <c r="V9" s="8"/>
      <c r="W9" s="9"/>
      <c r="X9" s="8"/>
      <c r="AA9" s="17"/>
      <c r="AB9" s="7"/>
    </row>
    <row r="10" spans="1:28" x14ac:dyDescent="0.3">
      <c r="A10" s="8"/>
      <c r="B10" s="6"/>
      <c r="C10" s="9"/>
      <c r="D10" s="20"/>
      <c r="O10" s="23"/>
      <c r="P10" s="20"/>
      <c r="U10" s="23"/>
      <c r="V10" s="8"/>
      <c r="W10" s="9"/>
      <c r="X10" s="8"/>
      <c r="AA10" s="17"/>
      <c r="AB10" s="7"/>
    </row>
    <row r="11" spans="1:28" x14ac:dyDescent="0.3">
      <c r="A11" s="8"/>
      <c r="B11" s="6"/>
      <c r="C11" s="9"/>
      <c r="D11" s="20"/>
      <c r="O11" s="23"/>
      <c r="P11" s="20"/>
      <c r="U11" s="23"/>
      <c r="V11" s="8"/>
      <c r="W11" s="9"/>
      <c r="X11" s="8"/>
      <c r="AA11" s="17"/>
      <c r="AB11" s="7"/>
    </row>
    <row r="12" spans="1:28" x14ac:dyDescent="0.3">
      <c r="A12" s="8"/>
      <c r="B12" s="6"/>
      <c r="C12" s="9"/>
      <c r="D12" s="20"/>
      <c r="O12" s="23"/>
      <c r="P12" s="20"/>
      <c r="U12" s="23"/>
      <c r="V12" s="8"/>
      <c r="W12" s="9"/>
      <c r="X12" s="8"/>
      <c r="AA12" s="17"/>
      <c r="AB12" s="7"/>
    </row>
    <row r="13" spans="1:28" x14ac:dyDescent="0.3">
      <c r="A13" s="8"/>
      <c r="B13" s="6"/>
      <c r="C13" s="9"/>
      <c r="D13" s="20"/>
      <c r="O13" s="23"/>
      <c r="P13" s="20"/>
      <c r="U13" s="23"/>
      <c r="V13" s="8"/>
      <c r="W13" s="9"/>
      <c r="X13" s="8"/>
      <c r="AA13" s="17"/>
      <c r="AB13" s="7"/>
    </row>
    <row r="14" spans="1:28" x14ac:dyDescent="0.3">
      <c r="A14" s="8"/>
      <c r="B14" s="6"/>
      <c r="C14" s="9"/>
      <c r="D14" s="20"/>
      <c r="O14" s="23"/>
      <c r="P14" s="20"/>
      <c r="U14" s="23"/>
      <c r="V14" s="8"/>
      <c r="W14" s="9"/>
      <c r="X14" s="8"/>
      <c r="AA14" s="17"/>
      <c r="AB14" s="7"/>
    </row>
    <row r="15" spans="1:28" x14ac:dyDescent="0.3">
      <c r="A15" s="8"/>
      <c r="B15" s="6"/>
      <c r="C15" s="9"/>
      <c r="D15" s="20"/>
      <c r="O15" s="23"/>
      <c r="P15" s="20"/>
      <c r="U15" s="23"/>
      <c r="V15" s="8"/>
      <c r="W15" s="9"/>
      <c r="X15" s="8"/>
      <c r="AA15" s="17"/>
      <c r="AB15" s="7"/>
    </row>
    <row r="16" spans="1:28" x14ac:dyDescent="0.3">
      <c r="A16" s="8"/>
      <c r="B16" s="6"/>
      <c r="C16" s="9"/>
      <c r="D16" s="20"/>
      <c r="O16" s="23"/>
      <c r="P16" s="20"/>
      <c r="U16" s="23"/>
      <c r="V16" s="8"/>
      <c r="W16" s="9"/>
      <c r="X16" s="8"/>
      <c r="AA16" s="17"/>
      <c r="AB16" s="7"/>
    </row>
    <row r="17" spans="1:28" x14ac:dyDescent="0.3">
      <c r="A17" s="8"/>
      <c r="B17" s="6"/>
      <c r="C17" s="9"/>
      <c r="D17" s="20"/>
      <c r="O17" s="23"/>
      <c r="P17" s="20"/>
      <c r="U17" s="23"/>
      <c r="V17" s="8"/>
      <c r="W17" s="9"/>
      <c r="X17" s="8"/>
      <c r="AA17" s="17"/>
      <c r="AB17" s="7"/>
    </row>
    <row r="18" spans="1:28" x14ac:dyDescent="0.3">
      <c r="A18" s="8"/>
      <c r="B18" s="6"/>
      <c r="C18" s="9"/>
      <c r="D18" s="20"/>
      <c r="O18" s="23"/>
      <c r="P18" s="20"/>
      <c r="U18" s="23"/>
      <c r="V18" s="8"/>
      <c r="W18" s="9"/>
      <c r="X18" s="8"/>
      <c r="AA18" s="17"/>
      <c r="AB18" s="7"/>
    </row>
    <row r="19" spans="1:28" x14ac:dyDescent="0.3">
      <c r="A19" s="8"/>
      <c r="B19" s="6"/>
      <c r="C19" s="9"/>
      <c r="D19" s="20"/>
      <c r="O19" s="23"/>
      <c r="P19" s="20"/>
      <c r="U19" s="23"/>
      <c r="V19" s="8"/>
      <c r="W19" s="9"/>
      <c r="X19" s="8"/>
      <c r="AA19" s="17"/>
      <c r="AB19" s="7"/>
    </row>
    <row r="20" spans="1:28" x14ac:dyDescent="0.3">
      <c r="A20" s="8"/>
      <c r="B20" s="6"/>
      <c r="C20" s="9"/>
      <c r="D20" s="20"/>
      <c r="O20" s="23"/>
      <c r="P20" s="20"/>
      <c r="U20" s="23"/>
      <c r="V20" s="8"/>
      <c r="W20" s="9"/>
      <c r="X20" s="8"/>
      <c r="AA20" s="17"/>
      <c r="AB20" s="7"/>
    </row>
    <row r="21" spans="1:28" x14ac:dyDescent="0.3">
      <c r="A21" s="8"/>
      <c r="B21" s="6"/>
      <c r="C21" s="9"/>
      <c r="D21" s="20"/>
      <c r="O21" s="23"/>
      <c r="P21" s="20"/>
      <c r="U21" s="23"/>
      <c r="V21" s="8"/>
      <c r="W21" s="9"/>
      <c r="X21" s="8"/>
      <c r="AA21" s="17"/>
      <c r="AB21" s="7"/>
    </row>
    <row r="22" spans="1:28" x14ac:dyDescent="0.3">
      <c r="A22" s="8"/>
      <c r="B22" s="6"/>
      <c r="C22" s="9"/>
      <c r="D22" s="20"/>
      <c r="O22" s="23"/>
      <c r="P22" s="20"/>
      <c r="U22" s="23"/>
      <c r="V22" s="8"/>
      <c r="W22" s="9"/>
      <c r="X22" s="8"/>
      <c r="AA22" s="17"/>
      <c r="AB22" s="7"/>
    </row>
    <row r="23" spans="1:28" x14ac:dyDescent="0.3">
      <c r="A23" s="8"/>
      <c r="B23" s="6"/>
      <c r="C23" s="9"/>
      <c r="D23" s="20"/>
      <c r="O23" s="23"/>
      <c r="P23" s="20"/>
      <c r="U23" s="23"/>
      <c r="V23" s="8"/>
      <c r="W23" s="9"/>
      <c r="X23" s="8"/>
      <c r="AA23" s="17"/>
      <c r="AB23" s="7"/>
    </row>
    <row r="24" spans="1:28" x14ac:dyDescent="0.3">
      <c r="A24" s="8"/>
      <c r="B24" s="6"/>
      <c r="C24" s="9"/>
      <c r="D24" s="20"/>
      <c r="O24" s="23"/>
      <c r="P24" s="20"/>
      <c r="U24" s="23"/>
      <c r="V24" s="8"/>
      <c r="W24" s="9"/>
      <c r="X24" s="8"/>
      <c r="AA24" s="17"/>
      <c r="AB24" s="7"/>
    </row>
    <row r="25" spans="1:28" x14ac:dyDescent="0.3">
      <c r="A25" s="8"/>
      <c r="B25" s="6"/>
      <c r="C25" s="9"/>
      <c r="D25" s="20"/>
      <c r="O25" s="23"/>
      <c r="P25" s="20"/>
      <c r="U25" s="23"/>
      <c r="V25" s="8"/>
      <c r="W25" s="9"/>
      <c r="X25" s="8"/>
      <c r="AA25" s="17"/>
      <c r="AB25" s="7"/>
    </row>
    <row r="26" spans="1:28" x14ac:dyDescent="0.3">
      <c r="A26" s="8"/>
      <c r="B26" s="6"/>
      <c r="C26" s="9"/>
      <c r="D26" s="20"/>
      <c r="O26" s="23"/>
      <c r="P26" s="20"/>
      <c r="U26" s="23"/>
      <c r="V26" s="8"/>
      <c r="W26" s="9"/>
      <c r="X26" s="8"/>
      <c r="AA26" s="17"/>
      <c r="AB26" s="7"/>
    </row>
    <row r="27" spans="1:28" x14ac:dyDescent="0.3">
      <c r="A27" s="8"/>
      <c r="B27" s="6"/>
      <c r="C27" s="9"/>
      <c r="D27" s="20"/>
      <c r="O27" s="23"/>
      <c r="P27" s="20"/>
      <c r="U27" s="23"/>
      <c r="V27" s="8"/>
      <c r="W27" s="9"/>
      <c r="X27" s="8"/>
      <c r="AA27" s="17"/>
      <c r="AB27" s="7"/>
    </row>
    <row r="28" spans="1:28" x14ac:dyDescent="0.3">
      <c r="A28" s="8"/>
      <c r="B28" s="6"/>
      <c r="C28" s="9"/>
      <c r="D28" s="20"/>
      <c r="O28" s="23"/>
      <c r="P28" s="20"/>
      <c r="U28" s="23"/>
      <c r="V28" s="8"/>
      <c r="W28" s="9"/>
      <c r="X28" s="8"/>
      <c r="AA28" s="17"/>
      <c r="AB28" s="7"/>
    </row>
    <row r="29" spans="1:28" x14ac:dyDescent="0.3">
      <c r="A29" s="8"/>
      <c r="B29" s="6"/>
      <c r="C29" s="9"/>
      <c r="D29" s="20"/>
      <c r="O29" s="23"/>
      <c r="P29" s="20"/>
      <c r="U29" s="23"/>
      <c r="V29" s="8"/>
      <c r="W29" s="9"/>
      <c r="X29" s="8"/>
      <c r="AA29" s="17"/>
      <c r="AB29" s="7"/>
    </row>
    <row r="30" spans="1:28" x14ac:dyDescent="0.3">
      <c r="A30" s="8"/>
      <c r="B30" s="6"/>
      <c r="C30" s="9"/>
      <c r="D30" s="20"/>
      <c r="O30" s="23"/>
      <c r="P30" s="20"/>
      <c r="U30" s="23"/>
      <c r="V30" s="8"/>
      <c r="W30" s="9"/>
      <c r="X30" s="8"/>
      <c r="AA30" s="17"/>
      <c r="AB30" s="7"/>
    </row>
    <row r="31" spans="1:28" x14ac:dyDescent="0.3">
      <c r="A31" s="8"/>
      <c r="B31" s="6"/>
      <c r="C31" s="9"/>
      <c r="D31" s="20"/>
      <c r="O31" s="23"/>
      <c r="P31" s="20"/>
      <c r="U31" s="23"/>
      <c r="V31" s="8"/>
      <c r="W31" s="9"/>
      <c r="X31" s="8"/>
      <c r="AA31" s="17"/>
      <c r="AB31" s="7"/>
    </row>
    <row r="32" spans="1:28" x14ac:dyDescent="0.3">
      <c r="A32" s="15"/>
      <c r="B32" s="25"/>
      <c r="C32" s="16"/>
      <c r="D32" s="21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4"/>
      <c r="P32" s="21"/>
      <c r="Q32" s="22"/>
      <c r="R32" s="22"/>
      <c r="S32" s="22"/>
      <c r="T32" s="22"/>
      <c r="U32" s="24"/>
      <c r="V32" s="15"/>
      <c r="W32" s="16"/>
      <c r="X32" s="15"/>
      <c r="Y32" s="13"/>
      <c r="Z32" s="13"/>
      <c r="AA32" s="22"/>
      <c r="AB32" s="14"/>
    </row>
  </sheetData>
  <mergeCells count="5">
    <mergeCell ref="A2:C2"/>
    <mergeCell ref="D2:O2"/>
    <mergeCell ref="P2:U2"/>
    <mergeCell ref="V2:W2"/>
    <mergeCell ref="X2:AB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P33"/>
  <sheetViews>
    <sheetView topLeftCell="C1" zoomScale="70" zoomScaleNormal="70" workbookViewId="0">
      <pane ySplit="3" topLeftCell="A4" activePane="bottomLeft" state="frozen"/>
      <selection pane="bottomLeft"/>
    </sheetView>
  </sheetViews>
  <sheetFormatPr defaultRowHeight="14.4" x14ac:dyDescent="0.3"/>
  <cols>
    <col min="1" max="2" width="39" customWidth="1"/>
    <col min="3" max="7" width="9.88671875" customWidth="1"/>
    <col min="8" max="8" width="24.44140625" customWidth="1"/>
    <col min="9" max="9" width="20.44140625" customWidth="1"/>
    <col min="10" max="10" width="24.44140625" customWidth="1"/>
    <col min="11" max="11" width="16.77734375" customWidth="1"/>
    <col min="12" max="12" width="35.33203125" customWidth="1"/>
    <col min="13" max="13" width="24.44140625" customWidth="1"/>
    <col min="14" max="14" width="16.77734375" customWidth="1"/>
    <col min="15" max="15" width="66.44140625" customWidth="1"/>
  </cols>
  <sheetData>
    <row r="1" spans="1:16" s="5" customFormat="1" ht="45" customHeight="1" x14ac:dyDescent="0.3">
      <c r="D1" s="6"/>
      <c r="E1" s="6"/>
      <c r="F1" s="6"/>
    </row>
    <row r="2" spans="1:16" s="34" customFormat="1" ht="14.4" customHeight="1" x14ac:dyDescent="0.3">
      <c r="A2" s="78" t="s">
        <v>33</v>
      </c>
      <c r="B2" s="79"/>
      <c r="C2" s="80" t="s">
        <v>34</v>
      </c>
      <c r="D2" s="81"/>
      <c r="E2" s="81"/>
      <c r="F2" s="81"/>
      <c r="G2" s="82"/>
      <c r="H2" s="83" t="s">
        <v>70</v>
      </c>
      <c r="I2" s="84"/>
      <c r="J2" s="84"/>
      <c r="K2" s="84"/>
      <c r="L2" s="85"/>
      <c r="M2" s="83" t="s">
        <v>71</v>
      </c>
      <c r="N2" s="84"/>
      <c r="O2" s="85"/>
      <c r="P2" s="34" t="s">
        <v>72</v>
      </c>
    </row>
    <row r="3" spans="1:16" s="34" customFormat="1" ht="43.2" x14ac:dyDescent="0.3">
      <c r="A3" s="35" t="s">
        <v>0</v>
      </c>
      <c r="B3" s="36" t="s">
        <v>50</v>
      </c>
      <c r="C3" s="35" t="s">
        <v>51</v>
      </c>
      <c r="D3" s="32" t="s">
        <v>52</v>
      </c>
      <c r="E3" s="32" t="s">
        <v>53</v>
      </c>
      <c r="F3" s="32" t="s">
        <v>54</v>
      </c>
      <c r="G3" s="37" t="s">
        <v>55</v>
      </c>
      <c r="H3" s="38" t="s">
        <v>9</v>
      </c>
      <c r="I3" s="33" t="s">
        <v>10</v>
      </c>
      <c r="J3" s="33" t="s">
        <v>56</v>
      </c>
      <c r="K3" s="33" t="s">
        <v>73</v>
      </c>
      <c r="L3" s="37" t="s">
        <v>57</v>
      </c>
      <c r="M3" s="38" t="s">
        <v>58</v>
      </c>
      <c r="N3" s="33" t="s">
        <v>74</v>
      </c>
      <c r="O3" s="37" t="s">
        <v>59</v>
      </c>
      <c r="P3" s="34" t="s">
        <v>72</v>
      </c>
    </row>
    <row r="4" spans="1:16" ht="116.4" customHeight="1" x14ac:dyDescent="0.3">
      <c r="A4" s="8" t="s">
        <v>60</v>
      </c>
      <c r="B4" s="9" t="s">
        <v>61</v>
      </c>
      <c r="C4" s="39">
        <v>0</v>
      </c>
      <c r="D4" s="40">
        <v>35</v>
      </c>
      <c r="E4" s="40">
        <v>0</v>
      </c>
      <c r="F4" s="40">
        <v>27</v>
      </c>
      <c r="G4" s="41">
        <f>(C4*60+D4)-(E4*60+F4)</f>
        <v>8</v>
      </c>
      <c r="H4" s="6" t="str">
        <f>LEFT(A4,FIND("?",SUBSTITUTE(A4,"\","?",LEN(A4)-LEN(SUBSTITUTE(A4,"\","")))))</f>
        <v>D:\education\VUB\Objectgericht programmeren\recordings\</v>
      </c>
      <c r="I4" s="6" t="str">
        <f>MID(A4,FIND("?",SUBSTITUTE(A4,"\","?",LEN(A4)-LEN(SUBSTITUTE(A4,"\",""))))+1,LEN(A4))</f>
        <v>ch01-V.mp4</v>
      </c>
      <c r="J4" s="6" t="str">
        <f>H4&amp;"cut_video"&amp;"\"&amp;I4</f>
        <v>D:\education\VUB\Objectgericht programmeren\recordings\cut_video\ch01-V.mp4</v>
      </c>
      <c r="K4" s="40"/>
      <c r="L4" s="9" t="str">
        <f>" -i """&amp;A4&amp;""" -c:v libx264 -preset "&amp;preset&amp;" -crf "&amp;crf&amp;" -ss "&amp;G4&amp;"s -y """&amp;J4&amp;""""</f>
        <v xml:space="preserve"> -i "D:\education\VUB\Objectgericht programmeren\recordings\ch01-V.mp4" -c:v libx264 -preset slow -crf 23 -ss 8s -y "D:\education\VUB\Objectgericht programmeren\recordings\cut_video\ch01-V.mp4"</v>
      </c>
      <c r="M4" s="8" t="str">
        <f>H4&amp;"combined"&amp;"\"&amp;I4</f>
        <v>D:\education\VUB\Objectgericht programmeren\recordings\combined\ch01-V.mp4</v>
      </c>
      <c r="N4" s="40"/>
      <c r="O4" s="9" t="str">
        <f>" -i """&amp;J4&amp;""" -i """&amp;B4&amp;""" -c:v copy -c:a copy """&amp;M4&amp;""""</f>
        <v xml:space="preserve"> -i "D:\education\VUB\Objectgericht programmeren\recordings\cut_video\ch01-V.mp4" -i "D:\education\VUB\Objectgericht programmeren\recordings\ch01-A.mp4" -c:v copy -c:a copy "D:\education\VUB\Objectgericht programmeren\recordings\combined\ch01-V.mp4"</v>
      </c>
      <c r="P4" s="34" t="s">
        <v>72</v>
      </c>
    </row>
    <row r="5" spans="1:16" ht="100.8" x14ac:dyDescent="0.3">
      <c r="A5" s="8" t="s">
        <v>62</v>
      </c>
      <c r="B5" s="9" t="s">
        <v>63</v>
      </c>
      <c r="C5" s="39">
        <v>0</v>
      </c>
      <c r="D5" s="40">
        <v>47</v>
      </c>
      <c r="E5" s="40">
        <v>0</v>
      </c>
      <c r="F5" s="40">
        <v>28</v>
      </c>
      <c r="G5" s="41">
        <f t="shared" ref="G5:G8" si="0">(C5*60+D5)-(E5*60+F5)</f>
        <v>19</v>
      </c>
      <c r="H5" s="6" t="str">
        <f t="shared" ref="H5:H8" si="1">LEFT(A5,FIND("?",SUBSTITUTE(A5,"\","?",LEN(A5)-LEN(SUBSTITUTE(A5,"\","")))))</f>
        <v>D:\education\VUB\Objectgericht programmeren\recordings\</v>
      </c>
      <c r="I5" s="6" t="str">
        <f t="shared" ref="I5:I8" si="2">MID(A5,FIND("?",SUBSTITUTE(A5,"\","?",LEN(A5)-LEN(SUBSTITUTE(A5,"\",""))))+1,LEN(A5))</f>
        <v>ch02-01-V.mp4</v>
      </c>
      <c r="J5" s="6" t="str">
        <f t="shared" ref="J5:J8" si="3">H5&amp;"cut_video"&amp;"\"&amp;I5</f>
        <v>D:\education\VUB\Objectgericht programmeren\recordings\cut_video\ch02-01-V.mp4</v>
      </c>
      <c r="K5" s="40"/>
      <c r="L5" s="9" t="str">
        <f>" -i """&amp;A5&amp;""" -c:v libx264 -preset "&amp;preset&amp;" -crf "&amp;crf&amp;" -ss "&amp;G5&amp;"s -y """&amp;J5&amp;""""</f>
        <v xml:space="preserve"> -i "D:\education\VUB\Objectgericht programmeren\recordings\ch02-01-V.mp4" -c:v libx264 -preset slow -crf 23 -ss 19s -y "D:\education\VUB\Objectgericht programmeren\recordings\cut_video\ch02-01-V.mp4"</v>
      </c>
      <c r="M5" s="8" t="str">
        <f t="shared" ref="M5:M8" si="4">H5&amp;"combined"&amp;"\"&amp;I5</f>
        <v>D:\education\VUB\Objectgericht programmeren\recordings\combined\ch02-01-V.mp4</v>
      </c>
      <c r="N5" s="40"/>
      <c r="O5" s="9" t="str">
        <f t="shared" ref="O5:O8" si="5">" -i """&amp;J5&amp;""" -i """&amp;B5&amp;""" -c:v copy -c:a copy """&amp;M5&amp;""""</f>
        <v xml:space="preserve"> -i "D:\education\VUB\Objectgericht programmeren\recordings\cut_video\ch02-01-V.mp4" -i "D:\education\VUB\Objectgericht programmeren\recordings\ch02-01-A.mp4" -c:v copy -c:a copy "D:\education\VUB\Objectgericht programmeren\recordings\combined\ch02-01-V.mp4"</v>
      </c>
      <c r="P5" s="34" t="s">
        <v>72</v>
      </c>
    </row>
    <row r="6" spans="1:16" ht="100.8" x14ac:dyDescent="0.3">
      <c r="A6" s="8" t="s">
        <v>64</v>
      </c>
      <c r="B6" s="9" t="s">
        <v>65</v>
      </c>
      <c r="C6" s="39">
        <v>3</v>
      </c>
      <c r="D6" s="40">
        <v>46</v>
      </c>
      <c r="E6" s="40">
        <v>3</v>
      </c>
      <c r="F6" s="40">
        <v>34</v>
      </c>
      <c r="G6" s="41">
        <f t="shared" si="0"/>
        <v>12</v>
      </c>
      <c r="H6" s="6" t="str">
        <f t="shared" si="1"/>
        <v>D:\education\VUB\Objectgericht programmeren\recordings\</v>
      </c>
      <c r="I6" s="6" t="str">
        <f t="shared" si="2"/>
        <v>ch02-02-V.mp4</v>
      </c>
      <c r="J6" s="6" t="str">
        <f t="shared" si="3"/>
        <v>D:\education\VUB\Objectgericht programmeren\recordings\cut_video\ch02-02-V.mp4</v>
      </c>
      <c r="K6" s="40"/>
      <c r="L6" s="9" t="str">
        <f>" -i """&amp;A6&amp;""" -c:v libx264 -preset "&amp;preset&amp;" -crf "&amp;crf&amp;" -ss "&amp;G6&amp;"s -y """&amp;J6&amp;""""</f>
        <v xml:space="preserve"> -i "D:\education\VUB\Objectgericht programmeren\recordings\ch02-02-V.mp4" -c:v libx264 -preset slow -crf 23 -ss 12s -y "D:\education\VUB\Objectgericht programmeren\recordings\cut_video\ch02-02-V.mp4"</v>
      </c>
      <c r="M6" s="8" t="str">
        <f t="shared" si="4"/>
        <v>D:\education\VUB\Objectgericht programmeren\recordings\combined\ch02-02-V.mp4</v>
      </c>
      <c r="N6" s="40"/>
      <c r="O6" s="9" t="str">
        <f t="shared" si="5"/>
        <v xml:space="preserve"> -i "D:\education\VUB\Objectgericht programmeren\recordings\cut_video\ch02-02-V.mp4" -i "D:\education\VUB\Objectgericht programmeren\recordings\ch02-02-A.mp4" -c:v copy -c:a copy "D:\education\VUB\Objectgericht programmeren\recordings\combined\ch02-02-V.mp4"</v>
      </c>
      <c r="P6" s="34" t="s">
        <v>72</v>
      </c>
    </row>
    <row r="7" spans="1:16" ht="100.8" x14ac:dyDescent="0.3">
      <c r="A7" s="8" t="s">
        <v>66</v>
      </c>
      <c r="B7" s="9" t="s">
        <v>67</v>
      </c>
      <c r="C7" s="39">
        <v>0</v>
      </c>
      <c r="D7" s="40">
        <v>50</v>
      </c>
      <c r="E7" s="40">
        <v>0</v>
      </c>
      <c r="F7" s="40">
        <v>36</v>
      </c>
      <c r="G7" s="41">
        <f t="shared" si="0"/>
        <v>14</v>
      </c>
      <c r="H7" s="6" t="str">
        <f t="shared" si="1"/>
        <v>D:\education\VUB\Objectgericht programmeren\recordings\</v>
      </c>
      <c r="I7" s="6" t="str">
        <f t="shared" si="2"/>
        <v>ch03-01-V.mp4</v>
      </c>
      <c r="J7" s="6" t="str">
        <f t="shared" si="3"/>
        <v>D:\education\VUB\Objectgericht programmeren\recordings\cut_video\ch03-01-V.mp4</v>
      </c>
      <c r="K7" s="40"/>
      <c r="L7" s="9" t="str">
        <f>" -i """&amp;A7&amp;""" -c:v libx264 -preset "&amp;preset&amp;" -crf "&amp;crf&amp;" -ss "&amp;G7&amp;"s -y """&amp;J7&amp;""""</f>
        <v xml:space="preserve"> -i "D:\education\VUB\Objectgericht programmeren\recordings\ch03-01-V.mp4" -c:v libx264 -preset slow -crf 23 -ss 14s -y "D:\education\VUB\Objectgericht programmeren\recordings\cut_video\ch03-01-V.mp4"</v>
      </c>
      <c r="M7" s="8" t="str">
        <f t="shared" si="4"/>
        <v>D:\education\VUB\Objectgericht programmeren\recordings\combined\ch03-01-V.mp4</v>
      </c>
      <c r="N7" s="40"/>
      <c r="O7" s="9" t="str">
        <f t="shared" si="5"/>
        <v xml:space="preserve"> -i "D:\education\VUB\Objectgericht programmeren\recordings\cut_video\ch03-01-V.mp4" -i "D:\education\VUB\Objectgericht programmeren\recordings\ch03-01-A.mp4" -c:v copy -c:a copy "D:\education\VUB\Objectgericht programmeren\recordings\combined\ch03-01-V.mp4"</v>
      </c>
      <c r="P7" s="34" t="s">
        <v>72</v>
      </c>
    </row>
    <row r="8" spans="1:16" ht="100.8" x14ac:dyDescent="0.3">
      <c r="A8" s="8" t="s">
        <v>68</v>
      </c>
      <c r="B8" s="9" t="s">
        <v>69</v>
      </c>
      <c r="C8" s="39">
        <v>4</v>
      </c>
      <c r="D8" s="40">
        <v>0</v>
      </c>
      <c r="E8" s="40">
        <v>2</v>
      </c>
      <c r="F8" s="40">
        <v>43</v>
      </c>
      <c r="G8" s="41">
        <f t="shared" si="0"/>
        <v>77</v>
      </c>
      <c r="H8" s="6" t="str">
        <f t="shared" si="1"/>
        <v>D:\education\VUB\Objectgericht programmeren\recordings\</v>
      </c>
      <c r="I8" s="6" t="str">
        <f t="shared" si="2"/>
        <v>ch03-02-V.mp4</v>
      </c>
      <c r="J8" s="6" t="str">
        <f t="shared" si="3"/>
        <v>D:\education\VUB\Objectgericht programmeren\recordings\cut_video\ch03-02-V.mp4</v>
      </c>
      <c r="K8" s="40"/>
      <c r="L8" s="9" t="str">
        <f>" -i """&amp;A8&amp;""" -c:v libx264 -preset "&amp;preset&amp;" -crf "&amp;crf&amp;" -ss "&amp;G8&amp;"s -y """&amp;J8&amp;""""</f>
        <v xml:space="preserve"> -i "D:\education\VUB\Objectgericht programmeren\recordings\ch03-02-V.mp4" -c:v libx264 -preset slow -crf 23 -ss 77s -y "D:\education\VUB\Objectgericht programmeren\recordings\cut_video\ch03-02-V.mp4"</v>
      </c>
      <c r="M8" s="8" t="str">
        <f t="shared" si="4"/>
        <v>D:\education\VUB\Objectgericht programmeren\recordings\combined\ch03-02-V.mp4</v>
      </c>
      <c r="N8" s="40"/>
      <c r="O8" s="9" t="str">
        <f t="shared" si="5"/>
        <v xml:space="preserve"> -i "D:\education\VUB\Objectgericht programmeren\recordings\cut_video\ch03-02-V.mp4" -i "D:\education\VUB\Objectgericht programmeren\recordings\ch03-02-A.mp4" -c:v copy -c:a copy "D:\education\VUB\Objectgericht programmeren\recordings\combined\ch03-02-V.mp4"</v>
      </c>
      <c r="P8" s="34" t="s">
        <v>72</v>
      </c>
    </row>
    <row r="9" spans="1:16" x14ac:dyDescent="0.3">
      <c r="A9" s="8"/>
      <c r="B9" s="9"/>
      <c r="C9" s="39"/>
      <c r="D9" s="40"/>
      <c r="E9" s="40"/>
      <c r="F9" s="40"/>
      <c r="G9" s="41"/>
      <c r="H9" s="8"/>
      <c r="I9" s="6"/>
      <c r="J9" s="6"/>
      <c r="K9" s="40"/>
      <c r="L9" s="9"/>
      <c r="M9" s="8"/>
      <c r="N9" s="40"/>
      <c r="O9" s="9"/>
      <c r="P9" s="34" t="s">
        <v>72</v>
      </c>
    </row>
    <row r="10" spans="1:16" x14ac:dyDescent="0.3">
      <c r="A10" s="8"/>
      <c r="B10" s="9"/>
      <c r="C10" s="39"/>
      <c r="D10" s="40"/>
      <c r="E10" s="40"/>
      <c r="F10" s="40"/>
      <c r="G10" s="41"/>
      <c r="H10" s="8"/>
      <c r="I10" s="6"/>
      <c r="J10" s="6"/>
      <c r="K10" s="40"/>
      <c r="L10" s="9"/>
      <c r="M10" s="8"/>
      <c r="N10" s="40"/>
      <c r="O10" s="9"/>
      <c r="P10" s="34" t="s">
        <v>72</v>
      </c>
    </row>
    <row r="11" spans="1:16" x14ac:dyDescent="0.3">
      <c r="A11" s="8"/>
      <c r="B11" s="9"/>
      <c r="C11" s="39"/>
      <c r="D11" s="40"/>
      <c r="E11" s="40"/>
      <c r="F11" s="40"/>
      <c r="G11" s="41"/>
      <c r="H11" s="8"/>
      <c r="I11" s="6"/>
      <c r="J11" s="6"/>
      <c r="K11" s="40"/>
      <c r="L11" s="9"/>
      <c r="M11" s="8"/>
      <c r="N11" s="40"/>
      <c r="O11" s="9"/>
      <c r="P11" s="34" t="s">
        <v>72</v>
      </c>
    </row>
    <row r="12" spans="1:16" x14ac:dyDescent="0.3">
      <c r="A12" s="8"/>
      <c r="B12" s="9"/>
      <c r="C12" s="39"/>
      <c r="D12" s="40"/>
      <c r="E12" s="40"/>
      <c r="F12" s="40"/>
      <c r="G12" s="41"/>
      <c r="H12" s="8"/>
      <c r="I12" s="6"/>
      <c r="J12" s="6"/>
      <c r="K12" s="40"/>
      <c r="L12" s="9"/>
      <c r="M12" s="8"/>
      <c r="N12" s="40"/>
      <c r="O12" s="9"/>
      <c r="P12" s="34" t="s">
        <v>72</v>
      </c>
    </row>
    <row r="13" spans="1:16" x14ac:dyDescent="0.3">
      <c r="A13" s="8"/>
      <c r="B13" s="9"/>
      <c r="C13" s="39"/>
      <c r="D13" s="40"/>
      <c r="E13" s="40"/>
      <c r="F13" s="40"/>
      <c r="G13" s="41"/>
      <c r="H13" s="8"/>
      <c r="I13" s="6"/>
      <c r="J13" s="6"/>
      <c r="K13" s="40"/>
      <c r="L13" s="9"/>
      <c r="M13" s="8"/>
      <c r="N13" s="40"/>
      <c r="O13" s="9"/>
      <c r="P13" s="34" t="s">
        <v>72</v>
      </c>
    </row>
    <row r="14" spans="1:16" x14ac:dyDescent="0.3">
      <c r="A14" s="8"/>
      <c r="B14" s="9"/>
      <c r="C14" s="39"/>
      <c r="D14" s="40"/>
      <c r="E14" s="40"/>
      <c r="F14" s="40"/>
      <c r="G14" s="41"/>
      <c r="H14" s="8"/>
      <c r="I14" s="6"/>
      <c r="J14" s="6"/>
      <c r="K14" s="40"/>
      <c r="L14" s="9"/>
      <c r="M14" s="8"/>
      <c r="N14" s="40"/>
      <c r="O14" s="9"/>
      <c r="P14" s="34" t="s">
        <v>72</v>
      </c>
    </row>
    <row r="15" spans="1:16" x14ac:dyDescent="0.3">
      <c r="A15" s="8"/>
      <c r="B15" s="9"/>
      <c r="C15" s="39"/>
      <c r="D15" s="40"/>
      <c r="E15" s="40"/>
      <c r="F15" s="40"/>
      <c r="G15" s="41"/>
      <c r="H15" s="8"/>
      <c r="I15" s="6"/>
      <c r="J15" s="6"/>
      <c r="K15" s="40"/>
      <c r="L15" s="9"/>
      <c r="M15" s="8"/>
      <c r="N15" s="40"/>
      <c r="O15" s="9"/>
      <c r="P15" s="34" t="s">
        <v>72</v>
      </c>
    </row>
    <row r="16" spans="1:16" x14ac:dyDescent="0.3">
      <c r="A16" s="8"/>
      <c r="B16" s="9"/>
      <c r="C16" s="39"/>
      <c r="D16" s="40"/>
      <c r="E16" s="40"/>
      <c r="F16" s="40"/>
      <c r="G16" s="41"/>
      <c r="H16" s="8"/>
      <c r="I16" s="6"/>
      <c r="J16" s="6"/>
      <c r="K16" s="40"/>
      <c r="L16" s="9"/>
      <c r="M16" s="8"/>
      <c r="N16" s="40"/>
      <c r="O16" s="9"/>
      <c r="P16" s="34" t="s">
        <v>72</v>
      </c>
    </row>
    <row r="17" spans="1:16" x14ac:dyDescent="0.3">
      <c r="A17" s="8"/>
      <c r="B17" s="9"/>
      <c r="C17" s="39"/>
      <c r="D17" s="40"/>
      <c r="E17" s="40"/>
      <c r="F17" s="40"/>
      <c r="G17" s="41"/>
      <c r="H17" s="8"/>
      <c r="I17" s="6"/>
      <c r="J17" s="6"/>
      <c r="K17" s="40"/>
      <c r="L17" s="9"/>
      <c r="M17" s="8"/>
      <c r="N17" s="40"/>
      <c r="O17" s="9"/>
      <c r="P17" s="34" t="s">
        <v>72</v>
      </c>
    </row>
    <row r="18" spans="1:16" x14ac:dyDescent="0.3">
      <c r="A18" s="8"/>
      <c r="B18" s="9"/>
      <c r="C18" s="39"/>
      <c r="D18" s="40"/>
      <c r="E18" s="40"/>
      <c r="F18" s="40"/>
      <c r="G18" s="41"/>
      <c r="H18" s="8"/>
      <c r="I18" s="6"/>
      <c r="J18" s="6"/>
      <c r="K18" s="40"/>
      <c r="L18" s="9"/>
      <c r="M18" s="8"/>
      <c r="N18" s="40"/>
      <c r="O18" s="9"/>
      <c r="P18" s="34" t="s">
        <v>72</v>
      </c>
    </row>
    <row r="19" spans="1:16" x14ac:dyDescent="0.3">
      <c r="A19" s="8"/>
      <c r="B19" s="9"/>
      <c r="C19" s="39"/>
      <c r="D19" s="40"/>
      <c r="E19" s="40"/>
      <c r="F19" s="40"/>
      <c r="G19" s="41"/>
      <c r="H19" s="8"/>
      <c r="I19" s="6"/>
      <c r="J19" s="6"/>
      <c r="K19" s="40"/>
      <c r="L19" s="9"/>
      <c r="M19" s="8"/>
      <c r="N19" s="40"/>
      <c r="O19" s="9"/>
      <c r="P19" s="34" t="s">
        <v>72</v>
      </c>
    </row>
    <row r="20" spans="1:16" x14ac:dyDescent="0.3">
      <c r="A20" s="8"/>
      <c r="B20" s="9"/>
      <c r="C20" s="39"/>
      <c r="D20" s="40"/>
      <c r="E20" s="40"/>
      <c r="F20" s="40"/>
      <c r="G20" s="41"/>
      <c r="H20" s="8"/>
      <c r="I20" s="6"/>
      <c r="J20" s="6"/>
      <c r="K20" s="40"/>
      <c r="L20" s="9"/>
      <c r="M20" s="8"/>
      <c r="N20" s="40"/>
      <c r="O20" s="9"/>
      <c r="P20" s="34" t="s">
        <v>72</v>
      </c>
    </row>
    <row r="21" spans="1:16" x14ac:dyDescent="0.3">
      <c r="A21" s="8"/>
      <c r="B21" s="9"/>
      <c r="C21" s="39"/>
      <c r="D21" s="40"/>
      <c r="E21" s="40"/>
      <c r="F21" s="40"/>
      <c r="G21" s="41"/>
      <c r="H21" s="8"/>
      <c r="I21" s="6"/>
      <c r="J21" s="6"/>
      <c r="K21" s="40"/>
      <c r="L21" s="9"/>
      <c r="M21" s="8"/>
      <c r="N21" s="40"/>
      <c r="O21" s="9"/>
      <c r="P21" s="34" t="s">
        <v>72</v>
      </c>
    </row>
    <row r="22" spans="1:16" x14ac:dyDescent="0.3">
      <c r="A22" s="8"/>
      <c r="B22" s="9"/>
      <c r="C22" s="39"/>
      <c r="D22" s="40"/>
      <c r="E22" s="40"/>
      <c r="F22" s="40"/>
      <c r="G22" s="41"/>
      <c r="H22" s="8"/>
      <c r="I22" s="6"/>
      <c r="J22" s="6"/>
      <c r="K22" s="40"/>
      <c r="L22" s="9"/>
      <c r="M22" s="8"/>
      <c r="N22" s="40"/>
      <c r="O22" s="9"/>
      <c r="P22" s="34" t="s">
        <v>72</v>
      </c>
    </row>
    <row r="23" spans="1:16" x14ac:dyDescent="0.3">
      <c r="A23" s="8"/>
      <c r="B23" s="9"/>
      <c r="C23" s="39"/>
      <c r="D23" s="40"/>
      <c r="E23" s="40"/>
      <c r="F23" s="40"/>
      <c r="G23" s="41"/>
      <c r="H23" s="8"/>
      <c r="I23" s="6"/>
      <c r="J23" s="6"/>
      <c r="K23" s="40"/>
      <c r="L23" s="9"/>
      <c r="M23" s="8"/>
      <c r="N23" s="40"/>
      <c r="O23" s="9"/>
      <c r="P23" s="34"/>
    </row>
    <row r="24" spans="1:16" x14ac:dyDescent="0.3">
      <c r="A24" s="8"/>
      <c r="B24" s="9"/>
      <c r="C24" s="39"/>
      <c r="D24" s="40"/>
      <c r="E24" s="40"/>
      <c r="F24" s="40"/>
      <c r="G24" s="41"/>
      <c r="H24" s="8"/>
      <c r="I24" s="6"/>
      <c r="J24" s="6"/>
      <c r="K24" s="40"/>
      <c r="L24" s="9"/>
      <c r="M24" s="8"/>
      <c r="N24" s="40"/>
      <c r="O24" s="9"/>
      <c r="P24" s="34" t="s">
        <v>72</v>
      </c>
    </row>
    <row r="25" spans="1:16" x14ac:dyDescent="0.3">
      <c r="A25" s="8"/>
      <c r="B25" s="9"/>
      <c r="C25" s="39"/>
      <c r="D25" s="40"/>
      <c r="E25" s="40"/>
      <c r="F25" s="40"/>
      <c r="G25" s="41"/>
      <c r="H25" s="8"/>
      <c r="I25" s="6"/>
      <c r="J25" s="6"/>
      <c r="K25" s="40"/>
      <c r="L25" s="9"/>
      <c r="M25" s="8"/>
      <c r="N25" s="40"/>
      <c r="O25" s="9"/>
      <c r="P25" s="34" t="s">
        <v>72</v>
      </c>
    </row>
    <row r="26" spans="1:16" x14ac:dyDescent="0.3">
      <c r="A26" s="8"/>
      <c r="B26" s="9"/>
      <c r="C26" s="39"/>
      <c r="D26" s="40"/>
      <c r="E26" s="40"/>
      <c r="F26" s="40"/>
      <c r="G26" s="41"/>
      <c r="H26" s="8"/>
      <c r="I26" s="6"/>
      <c r="J26" s="6"/>
      <c r="K26" s="40"/>
      <c r="L26" s="9"/>
      <c r="M26" s="8"/>
      <c r="N26" s="40"/>
      <c r="O26" s="9"/>
      <c r="P26" s="34" t="s">
        <v>72</v>
      </c>
    </row>
    <row r="27" spans="1:16" x14ac:dyDescent="0.3">
      <c r="A27" s="8"/>
      <c r="B27" s="9"/>
      <c r="C27" s="39"/>
      <c r="D27" s="40"/>
      <c r="E27" s="40"/>
      <c r="F27" s="40"/>
      <c r="G27" s="41"/>
      <c r="H27" s="8"/>
      <c r="I27" s="6"/>
      <c r="J27" s="6"/>
      <c r="K27" s="40"/>
      <c r="L27" s="9"/>
      <c r="M27" s="8"/>
      <c r="N27" s="40"/>
      <c r="O27" s="9"/>
      <c r="P27" s="34" t="s">
        <v>72</v>
      </c>
    </row>
    <row r="28" spans="1:16" x14ac:dyDescent="0.3">
      <c r="A28" s="8"/>
      <c r="B28" s="9"/>
      <c r="C28" s="39"/>
      <c r="D28" s="40"/>
      <c r="E28" s="40"/>
      <c r="F28" s="40"/>
      <c r="G28" s="41"/>
      <c r="H28" s="8"/>
      <c r="I28" s="6"/>
      <c r="J28" s="6"/>
      <c r="K28" s="40"/>
      <c r="L28" s="9"/>
      <c r="M28" s="8"/>
      <c r="N28" s="40"/>
      <c r="O28" s="9"/>
      <c r="P28" s="34" t="s">
        <v>72</v>
      </c>
    </row>
    <row r="29" spans="1:16" x14ac:dyDescent="0.3">
      <c r="A29" s="8"/>
      <c r="B29" s="9"/>
      <c r="C29" s="39"/>
      <c r="D29" s="40"/>
      <c r="E29" s="40"/>
      <c r="F29" s="40"/>
      <c r="G29" s="41"/>
      <c r="H29" s="8"/>
      <c r="I29" s="6"/>
      <c r="J29" s="6"/>
      <c r="K29" s="40"/>
      <c r="L29" s="9"/>
      <c r="M29" s="8"/>
      <c r="N29" s="40"/>
      <c r="O29" s="9"/>
      <c r="P29" s="34" t="s">
        <v>72</v>
      </c>
    </row>
    <row r="30" spans="1:16" x14ac:dyDescent="0.3">
      <c r="A30" s="8"/>
      <c r="B30" s="9"/>
      <c r="C30" s="39"/>
      <c r="D30" s="40"/>
      <c r="E30" s="40"/>
      <c r="F30" s="40"/>
      <c r="G30" s="41"/>
      <c r="H30" s="8"/>
      <c r="I30" s="6"/>
      <c r="J30" s="6"/>
      <c r="K30" s="40"/>
      <c r="L30" s="9"/>
      <c r="M30" s="8"/>
      <c r="N30" s="40"/>
      <c r="O30" s="9"/>
      <c r="P30" s="34" t="s">
        <v>72</v>
      </c>
    </row>
    <row r="31" spans="1:16" x14ac:dyDescent="0.3">
      <c r="A31" s="8"/>
      <c r="B31" s="9"/>
      <c r="C31" s="39"/>
      <c r="D31" s="40"/>
      <c r="E31" s="40"/>
      <c r="F31" s="40"/>
      <c r="G31" s="41"/>
      <c r="H31" s="8"/>
      <c r="I31" s="6"/>
      <c r="J31" s="6"/>
      <c r="K31" s="40"/>
      <c r="L31" s="9"/>
      <c r="M31" s="8"/>
      <c r="N31" s="40"/>
      <c r="O31" s="9"/>
      <c r="P31" s="34" t="s">
        <v>72</v>
      </c>
    </row>
    <row r="32" spans="1:16" x14ac:dyDescent="0.3">
      <c r="A32" s="15"/>
      <c r="B32" s="16"/>
      <c r="C32" s="42"/>
      <c r="D32" s="43"/>
      <c r="E32" s="43"/>
      <c r="F32" s="43"/>
      <c r="G32" s="44"/>
      <c r="H32" s="15"/>
      <c r="I32" s="25"/>
      <c r="J32" s="25"/>
      <c r="K32" s="43"/>
      <c r="L32" s="16"/>
      <c r="M32" s="15"/>
      <c r="N32" s="43"/>
      <c r="O32" s="16"/>
      <c r="P32" s="34" t="s">
        <v>72</v>
      </c>
    </row>
    <row r="33" spans="16:16" x14ac:dyDescent="0.3">
      <c r="P33" s="34" t="s">
        <v>72</v>
      </c>
    </row>
  </sheetData>
  <mergeCells count="4">
    <mergeCell ref="A2:B2"/>
    <mergeCell ref="C2:G2"/>
    <mergeCell ref="H2:L2"/>
    <mergeCell ref="M2:O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H33"/>
  <sheetViews>
    <sheetView zoomScale="70" zoomScaleNormal="70" workbookViewId="0">
      <pane ySplit="3" topLeftCell="A4" activePane="bottomLeft" state="frozen"/>
      <selection pane="bottomLeft"/>
    </sheetView>
  </sheetViews>
  <sheetFormatPr defaultRowHeight="14.4" x14ac:dyDescent="0.3"/>
  <cols>
    <col min="1" max="2" width="39" customWidth="1"/>
    <col min="3" max="4" width="21.77734375" style="6" customWidth="1"/>
    <col min="5" max="5" width="24.44140625" customWidth="1"/>
    <col min="6" max="6" width="16.77734375" customWidth="1"/>
    <col min="7" max="7" width="66.44140625" customWidth="1"/>
  </cols>
  <sheetData>
    <row r="1" spans="1:8" s="5" customFormat="1" ht="45" customHeight="1" x14ac:dyDescent="0.3"/>
    <row r="2" spans="1:8" s="34" customFormat="1" ht="14.4" customHeight="1" x14ac:dyDescent="0.3">
      <c r="A2" s="78" t="s">
        <v>33</v>
      </c>
      <c r="B2" s="79"/>
      <c r="C2" s="73" t="s">
        <v>36</v>
      </c>
      <c r="D2" s="86"/>
      <c r="E2" s="83" t="s">
        <v>37</v>
      </c>
      <c r="F2" s="84"/>
      <c r="G2" s="85"/>
      <c r="H2" s="34" t="s">
        <v>72</v>
      </c>
    </row>
    <row r="3" spans="1:8" s="34" customFormat="1" ht="28.8" x14ac:dyDescent="0.3">
      <c r="A3" s="35" t="s">
        <v>101</v>
      </c>
      <c r="B3" s="35" t="s">
        <v>102</v>
      </c>
      <c r="C3" s="28" t="s">
        <v>7</v>
      </c>
      <c r="D3" s="31" t="s">
        <v>106</v>
      </c>
      <c r="E3" s="38" t="s">
        <v>58</v>
      </c>
      <c r="F3" s="33" t="s">
        <v>42</v>
      </c>
      <c r="G3" s="37" t="s">
        <v>59</v>
      </c>
      <c r="H3" s="34" t="s">
        <v>72</v>
      </c>
    </row>
    <row r="4" spans="1:8" ht="116.4" customHeight="1" x14ac:dyDescent="0.3">
      <c r="A4" s="8" t="s">
        <v>103</v>
      </c>
      <c r="B4" s="9" t="s">
        <v>104</v>
      </c>
      <c r="C4" s="8" t="s">
        <v>105</v>
      </c>
      <c r="D4" s="6" t="s">
        <v>107</v>
      </c>
      <c r="E4" s="8" t="str">
        <f>C4&amp;"\"&amp;D4</f>
        <v>U:\jorrit\vub_panopto_conversies\sem2_batch2\out\joined\iv08.mp4</v>
      </c>
      <c r="F4" s="40" t="s">
        <v>100</v>
      </c>
      <c r="G4" s="9" t="str">
        <f>" -i """&amp;A4&amp;""" -i """&amp;B4&amp;""" -c:v copy -c:a copy """&amp;E4&amp;""""</f>
        <v xml:space="preserve"> -i "U:\jorrit\vub_panopto_conversies\sem2_batch2\out\iv08_part1.mp4" -i "U:\jorrit\vub_panopto_conversies\sem2_batch2\out\iv08_part2.mp4" -c:v copy -c:a copy "U:\jorrit\vub_panopto_conversies\sem2_batch2\out\joined\iv08.mp4"</v>
      </c>
      <c r="H4" s="34" t="s">
        <v>72</v>
      </c>
    </row>
    <row r="5" spans="1:8" x14ac:dyDescent="0.3">
      <c r="A5" s="8"/>
      <c r="B5" s="9"/>
      <c r="C5" s="8"/>
      <c r="E5" s="8"/>
      <c r="F5" s="40"/>
      <c r="G5" s="9"/>
      <c r="H5" s="34"/>
    </row>
    <row r="6" spans="1:8" x14ac:dyDescent="0.3">
      <c r="A6" s="8"/>
      <c r="B6" s="9"/>
      <c r="C6" s="8"/>
      <c r="E6" s="8"/>
      <c r="F6" s="40"/>
      <c r="G6" s="9"/>
      <c r="H6" s="34"/>
    </row>
    <row r="7" spans="1:8" x14ac:dyDescent="0.3">
      <c r="A7" s="8"/>
      <c r="B7" s="9"/>
      <c r="C7" s="8"/>
      <c r="E7" s="8"/>
      <c r="F7" s="40"/>
      <c r="G7" s="9"/>
      <c r="H7" s="34"/>
    </row>
    <row r="8" spans="1:8" x14ac:dyDescent="0.3">
      <c r="A8" s="8"/>
      <c r="B8" s="9"/>
      <c r="C8" s="8"/>
      <c r="E8" s="8"/>
      <c r="F8" s="40"/>
      <c r="G8" s="9"/>
      <c r="H8" s="34"/>
    </row>
    <row r="9" spans="1:8" x14ac:dyDescent="0.3">
      <c r="A9" s="8"/>
      <c r="B9" s="9"/>
      <c r="C9" s="8"/>
      <c r="E9" s="8"/>
      <c r="F9" s="40"/>
      <c r="G9" s="9"/>
      <c r="H9" s="34"/>
    </row>
    <row r="10" spans="1:8" x14ac:dyDescent="0.3">
      <c r="A10" s="8"/>
      <c r="B10" s="9"/>
      <c r="C10" s="8"/>
      <c r="E10" s="8"/>
      <c r="F10" s="40"/>
      <c r="G10" s="9"/>
      <c r="H10" s="34"/>
    </row>
    <row r="11" spans="1:8" x14ac:dyDescent="0.3">
      <c r="A11" s="8"/>
      <c r="B11" s="9"/>
      <c r="C11" s="8"/>
      <c r="E11" s="8"/>
      <c r="F11" s="40"/>
      <c r="G11" s="9"/>
      <c r="H11" s="34" t="s">
        <v>72</v>
      </c>
    </row>
    <row r="12" spans="1:8" x14ac:dyDescent="0.3">
      <c r="A12" s="8"/>
      <c r="B12" s="9"/>
      <c r="C12" s="8"/>
      <c r="E12" s="8"/>
      <c r="F12" s="40"/>
      <c r="G12" s="9"/>
      <c r="H12" s="34" t="s">
        <v>72</v>
      </c>
    </row>
    <row r="13" spans="1:8" x14ac:dyDescent="0.3">
      <c r="A13" s="8"/>
      <c r="B13" s="9"/>
      <c r="C13" s="8"/>
      <c r="E13" s="8"/>
      <c r="F13" s="40"/>
      <c r="G13" s="9"/>
      <c r="H13" s="34" t="s">
        <v>72</v>
      </c>
    </row>
    <row r="14" spans="1:8" x14ac:dyDescent="0.3">
      <c r="A14" s="8"/>
      <c r="B14" s="9"/>
      <c r="C14" s="8"/>
      <c r="E14" s="8"/>
      <c r="F14" s="40"/>
      <c r="G14" s="9"/>
      <c r="H14" s="34" t="s">
        <v>72</v>
      </c>
    </row>
    <row r="15" spans="1:8" x14ac:dyDescent="0.3">
      <c r="A15" s="8"/>
      <c r="B15" s="9"/>
      <c r="C15" s="8"/>
      <c r="E15" s="8"/>
      <c r="F15" s="40"/>
      <c r="G15" s="9"/>
      <c r="H15" s="34" t="s">
        <v>72</v>
      </c>
    </row>
    <row r="16" spans="1:8" x14ac:dyDescent="0.3">
      <c r="A16" s="8"/>
      <c r="B16" s="9"/>
      <c r="C16" s="8"/>
      <c r="E16" s="8"/>
      <c r="F16" s="40"/>
      <c r="G16" s="9"/>
      <c r="H16" s="34" t="s">
        <v>72</v>
      </c>
    </row>
    <row r="17" spans="1:8" x14ac:dyDescent="0.3">
      <c r="A17" s="8"/>
      <c r="B17" s="9"/>
      <c r="C17" s="8"/>
      <c r="E17" s="8"/>
      <c r="F17" s="40"/>
      <c r="G17" s="9"/>
      <c r="H17" s="34" t="s">
        <v>72</v>
      </c>
    </row>
    <row r="18" spans="1:8" x14ac:dyDescent="0.3">
      <c r="A18" s="8"/>
      <c r="B18" s="9"/>
      <c r="C18" s="8"/>
      <c r="E18" s="8"/>
      <c r="F18" s="40"/>
      <c r="G18" s="9"/>
      <c r="H18" s="34" t="s">
        <v>72</v>
      </c>
    </row>
    <row r="19" spans="1:8" x14ac:dyDescent="0.3">
      <c r="A19" s="8"/>
      <c r="B19" s="9"/>
      <c r="C19" s="8"/>
      <c r="E19" s="8"/>
      <c r="F19" s="40"/>
      <c r="G19" s="9"/>
      <c r="H19" s="34" t="s">
        <v>72</v>
      </c>
    </row>
    <row r="20" spans="1:8" x14ac:dyDescent="0.3">
      <c r="A20" s="8"/>
      <c r="B20" s="9"/>
      <c r="C20" s="8"/>
      <c r="E20" s="8"/>
      <c r="F20" s="40"/>
      <c r="G20" s="9"/>
      <c r="H20" s="34" t="s">
        <v>72</v>
      </c>
    </row>
    <row r="21" spans="1:8" x14ac:dyDescent="0.3">
      <c r="A21" s="8"/>
      <c r="B21" s="9"/>
      <c r="C21" s="8"/>
      <c r="E21" s="8"/>
      <c r="F21" s="40"/>
      <c r="G21" s="9"/>
      <c r="H21" s="34" t="s">
        <v>72</v>
      </c>
    </row>
    <row r="22" spans="1:8" x14ac:dyDescent="0.3">
      <c r="A22" s="8"/>
      <c r="B22" s="9"/>
      <c r="C22" s="8"/>
      <c r="E22" s="8"/>
      <c r="F22" s="40"/>
      <c r="G22" s="9"/>
      <c r="H22" s="34" t="s">
        <v>72</v>
      </c>
    </row>
    <row r="23" spans="1:8" x14ac:dyDescent="0.3">
      <c r="A23" s="8"/>
      <c r="B23" s="9"/>
      <c r="C23" s="8"/>
      <c r="E23" s="8"/>
      <c r="F23" s="40"/>
      <c r="G23" s="9"/>
      <c r="H23" s="34"/>
    </row>
    <row r="24" spans="1:8" x14ac:dyDescent="0.3">
      <c r="A24" s="8"/>
      <c r="B24" s="9"/>
      <c r="C24" s="8"/>
      <c r="E24" s="8"/>
      <c r="F24" s="40"/>
      <c r="G24" s="9"/>
      <c r="H24" s="34" t="s">
        <v>72</v>
      </c>
    </row>
    <row r="25" spans="1:8" x14ac:dyDescent="0.3">
      <c r="A25" s="8"/>
      <c r="B25" s="9"/>
      <c r="C25" s="8"/>
      <c r="E25" s="8"/>
      <c r="F25" s="40"/>
      <c r="G25" s="9"/>
      <c r="H25" s="34" t="s">
        <v>72</v>
      </c>
    </row>
    <row r="26" spans="1:8" x14ac:dyDescent="0.3">
      <c r="A26" s="8"/>
      <c r="B26" s="9"/>
      <c r="C26" s="8"/>
      <c r="E26" s="8"/>
      <c r="F26" s="40"/>
      <c r="G26" s="9"/>
      <c r="H26" s="34" t="s">
        <v>72</v>
      </c>
    </row>
    <row r="27" spans="1:8" x14ac:dyDescent="0.3">
      <c r="A27" s="8"/>
      <c r="B27" s="9"/>
      <c r="C27" s="8"/>
      <c r="E27" s="8"/>
      <c r="F27" s="40"/>
      <c r="G27" s="9"/>
      <c r="H27" s="34" t="s">
        <v>72</v>
      </c>
    </row>
    <row r="28" spans="1:8" x14ac:dyDescent="0.3">
      <c r="A28" s="8"/>
      <c r="B28" s="9"/>
      <c r="C28" s="8"/>
      <c r="E28" s="8"/>
      <c r="F28" s="40"/>
      <c r="G28" s="9"/>
      <c r="H28" s="34" t="s">
        <v>72</v>
      </c>
    </row>
    <row r="29" spans="1:8" x14ac:dyDescent="0.3">
      <c r="A29" s="8"/>
      <c r="B29" s="9"/>
      <c r="C29" s="8"/>
      <c r="E29" s="8"/>
      <c r="F29" s="40"/>
      <c r="G29" s="9"/>
      <c r="H29" s="34" t="s">
        <v>72</v>
      </c>
    </row>
    <row r="30" spans="1:8" x14ac:dyDescent="0.3">
      <c r="A30" s="8"/>
      <c r="B30" s="9"/>
      <c r="C30" s="8"/>
      <c r="E30" s="8"/>
      <c r="F30" s="40"/>
      <c r="G30" s="9"/>
      <c r="H30" s="34" t="s">
        <v>72</v>
      </c>
    </row>
    <row r="31" spans="1:8" x14ac:dyDescent="0.3">
      <c r="A31" s="8"/>
      <c r="B31" s="9"/>
      <c r="C31" s="8"/>
      <c r="E31" s="8"/>
      <c r="F31" s="40"/>
      <c r="G31" s="9"/>
      <c r="H31" s="34" t="s">
        <v>72</v>
      </c>
    </row>
    <row r="32" spans="1:8" x14ac:dyDescent="0.3">
      <c r="A32" s="15"/>
      <c r="B32" s="16"/>
      <c r="C32" s="15"/>
      <c r="D32" s="25"/>
      <c r="E32" s="15"/>
      <c r="F32" s="43"/>
      <c r="G32" s="16"/>
      <c r="H32" s="34" t="s">
        <v>72</v>
      </c>
    </row>
    <row r="33" spans="8:8" x14ac:dyDescent="0.3">
      <c r="H33" s="34" t="s">
        <v>72</v>
      </c>
    </row>
  </sheetData>
  <mergeCells count="3">
    <mergeCell ref="A2:B2"/>
    <mergeCell ref="E2:G2"/>
    <mergeCell ref="C2:D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README</vt:lpstr>
      <vt:lpstr>general_config</vt:lpstr>
      <vt:lpstr>convert</vt:lpstr>
      <vt:lpstr>trim_convert</vt:lpstr>
      <vt:lpstr>trim-crop-convert</vt:lpstr>
      <vt:lpstr>trim-convert-join</vt:lpstr>
      <vt:lpstr>join</vt:lpstr>
      <vt:lpstr>crf</vt:lpstr>
      <vt:lpstr>debug</vt:lpstr>
      <vt:lpstr>executable</vt:lpstr>
      <vt:lpstr>preset</vt:lpstr>
      <vt:lpstr>status_c</vt:lpstr>
      <vt:lpstr>status_j</vt:lpstr>
      <vt:lpstr>status_tc</vt:lpstr>
      <vt:lpstr>status_tcc</vt:lpstr>
      <vt:lpstr>status_tcj1</vt:lpstr>
      <vt:lpstr>join!status_tcj2</vt:lpstr>
      <vt:lpstr>status_tcj2</vt:lpstr>
    </vt:vector>
  </TitlesOfParts>
  <Company>-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JVM</dc:creator>
  <cp:lastModifiedBy>JVM</cp:lastModifiedBy>
  <dcterms:created xsi:type="dcterms:W3CDTF">2023-03-07T12:27:57Z</dcterms:created>
  <dcterms:modified xsi:type="dcterms:W3CDTF">2024-02-24T22:28:46Z</dcterms:modified>
</cp:coreProperties>
</file>